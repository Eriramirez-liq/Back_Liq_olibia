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matización remisión anexos\Anexos para Remisión\"/>
    </mc:Choice>
  </mc:AlternateContent>
  <xr:revisionPtr revIDLastSave="0" documentId="13_ncr:101_{62CB1DC4-1AD2-40E3-A356-7B39201BA4EB}" xr6:coauthVersionLast="47" xr6:coauthVersionMax="47" xr10:uidLastSave="{00000000-0000-0000-0000-000000000000}"/>
  <bookViews>
    <workbookView xWindow="-110" yWindow="-110" windowWidth="19420" windowHeight="10300" xr2:uid="{F07EE3C4-9DE9-44CD-89C9-F913C70F68E5}"/>
  </bookViews>
  <sheets>
    <sheet name="BIAC" sheetId="1" r:id="rId1"/>
  </sheets>
  <definedNames>
    <definedName name="_xlnm.Print_Titles" localSheetId="0">BIAC!$1:$6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7" i="1" l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88" i="1" s="1"/>
  <c r="M262" i="1"/>
  <c r="M289" i="1" s="1"/>
  <c r="K262" i="1"/>
  <c r="K289" i="1" s="1"/>
  <c r="Q261" i="1"/>
  <c r="Q260" i="1"/>
  <c r="Q259" i="1"/>
  <c r="Q258" i="1"/>
  <c r="Q257" i="1"/>
  <c r="K256" i="1"/>
  <c r="Q256" i="1" s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K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48" i="1" s="1"/>
  <c r="Q126" i="1"/>
  <c r="Q125" i="1"/>
  <c r="Q124" i="1"/>
  <c r="Q123" i="1"/>
  <c r="M122" i="1"/>
  <c r="M149" i="1" s="1"/>
  <c r="Q121" i="1"/>
  <c r="Q120" i="1"/>
  <c r="Q119" i="1"/>
  <c r="Q118" i="1"/>
  <c r="Q117" i="1"/>
  <c r="K116" i="1"/>
  <c r="Q116" i="1" s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K60" i="1"/>
  <c r="K122" i="1" s="1"/>
  <c r="K149" i="1" s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262" i="1" l="1"/>
  <c r="Q289" i="1"/>
  <c r="Q60" i="1"/>
  <c r="Q122" i="1" s="1"/>
  <c r="Q149" i="1" s="1"/>
  <c r="K292" i="1" l="1"/>
</calcChain>
</file>

<file path=xl/sharedStrings.xml><?xml version="1.0" encoding="utf-8"?>
<sst xmlns="http://schemas.openxmlformats.org/spreadsheetml/2006/main" count="869" uniqueCount="297">
  <si>
    <r>
      <rPr>
        <sz val="10"/>
        <color rgb="FF000000"/>
        <rFont val="Arial"/>
      </rPr>
      <t xml:space="preserve">Gerencia Comercial Transmisión y Distribución Energía
</t>
    </r>
    <r>
      <rPr>
        <sz val="10"/>
        <color rgb="FF000000"/>
        <rFont val="Arial"/>
      </rPr>
      <t>Unidad Transacciones TyD Energía</t>
    </r>
  </si>
  <si>
    <r>
      <rPr>
        <b/>
        <sz val="12"/>
        <color rgb="FF81C240"/>
        <rFont val="Arial"/>
      </rPr>
      <t>ANEXO FACTURA CARGOS POR USO DE: EPM</t>
    </r>
  </si>
  <si>
    <t>Energía transportada en: 2026/02 Liquidación con versión L00 ejecutada el día 06/04/2026</t>
  </si>
  <si>
    <t>Agente: BIAC - BIA ENERGY</t>
  </si>
  <si>
    <t/>
  </si>
  <si>
    <t>INGRESO POR EXCESO DE ENERGÍA REACTIVA SDL XM</t>
  </si>
  <si>
    <t>Nivel de Tensión</t>
  </si>
  <si>
    <t>Instalación</t>
  </si>
  <si>
    <t>Código SIC</t>
  </si>
  <si>
    <t>Franja horaria</t>
  </si>
  <si>
    <t>Factor franja horaria</t>
  </si>
  <si>
    <r>
      <rPr>
        <b/>
        <sz val="10"/>
        <color rgb="FFFFFFFF"/>
        <rFont val="Tahoma"/>
      </rPr>
      <t xml:space="preserve">Cargo por Uso
</t>
    </r>
    <r>
      <rPr>
        <b/>
        <sz val="10"/>
        <color rgb="FFFFFFFF"/>
        <rFont val="Tahoma"/>
      </rPr>
      <t>($/KWh)</t>
    </r>
  </si>
  <si>
    <t>Factor M</t>
  </si>
  <si>
    <r>
      <rPr>
        <b/>
        <sz val="10"/>
        <color rgb="FFFFFFFF"/>
        <rFont val="Tahoma"/>
      </rPr>
      <t xml:space="preserve">ENERGÍA 
</t>
    </r>
    <r>
      <rPr>
        <b/>
        <sz val="10"/>
        <color rgb="FFFFFFFF"/>
        <rFont val="Tahoma"/>
      </rPr>
      <t>Exceso reactiva  inductiva SDL
(KVAR)</t>
    </r>
  </si>
  <si>
    <r>
      <rPr>
        <b/>
        <sz val="10"/>
        <color rgb="FFFFFFFF"/>
        <rFont val="Tahoma"/>
      </rPr>
      <t xml:space="preserve">FP
</t>
    </r>
    <r>
      <rPr>
        <b/>
        <sz val="10"/>
        <color rgb="FFFFFFFF"/>
        <rFont val="Tahoma"/>
      </rPr>
      <t>Inductivo</t>
    </r>
  </si>
  <si>
    <r>
      <rPr>
        <b/>
        <sz val="10"/>
        <color rgb="FFFFFFFF"/>
        <rFont val="Tahoma"/>
      </rPr>
      <t xml:space="preserve">ENERGÍA 
</t>
    </r>
    <r>
      <rPr>
        <b/>
        <sz val="10"/>
        <color rgb="FFFFFFFF"/>
        <rFont val="Tahoma"/>
      </rPr>
      <t>Exceso reactiva capacitiva SDL
(KVAR)</t>
    </r>
  </si>
  <si>
    <r>
      <rPr>
        <b/>
        <sz val="10"/>
        <color rgb="FFFFFFFF"/>
        <rFont val="Tahoma"/>
      </rPr>
      <t xml:space="preserve">FP
</t>
    </r>
    <r>
      <rPr>
        <b/>
        <sz val="10"/>
        <color rgb="FFFFFFFF"/>
        <rFont val="Tahoma"/>
      </rPr>
      <t>Capacitivo</t>
    </r>
  </si>
  <si>
    <r>
      <rPr>
        <b/>
        <sz val="10"/>
        <color rgb="FFFFFFFF"/>
        <rFont val="Tahoma"/>
      </rPr>
      <t xml:space="preserve">INGRESO 
</t>
    </r>
    <r>
      <rPr>
        <b/>
        <sz val="10"/>
        <color rgb="FFFFFFFF"/>
        <rFont val="Tahoma"/>
      </rPr>
      <t>Exceso reactiva SDL ($)</t>
    </r>
  </si>
  <si>
    <t>nivel 1</t>
  </si>
  <si>
    <t>ACUEDUCTO_SAN_JUAN</t>
  </si>
  <si>
    <t>FRT89692</t>
  </si>
  <si>
    <t>Monomio</t>
  </si>
  <si>
    <t>ALMA76</t>
  </si>
  <si>
    <t>FRT57961</t>
  </si>
  <si>
    <t>ALTIPAL_APART</t>
  </si>
  <si>
    <t>FRT63238</t>
  </si>
  <si>
    <t>ALTIPAL_GIRARD</t>
  </si>
  <si>
    <t>FRT60502</t>
  </si>
  <si>
    <t>ARISTEO</t>
  </si>
  <si>
    <t>FRT43375</t>
  </si>
  <si>
    <t>ARISTEO_CR47</t>
  </si>
  <si>
    <t>FRT92095</t>
  </si>
  <si>
    <t>ASOCIADOSGCAUCASIA</t>
  </si>
  <si>
    <t>FRT77777</t>
  </si>
  <si>
    <t>BANCO_POPULAR_CLL31</t>
  </si>
  <si>
    <t>FRT85025</t>
  </si>
  <si>
    <t>BANCO_POPULAR_CLL50</t>
  </si>
  <si>
    <t>FRT85031</t>
  </si>
  <si>
    <t>BANCO_POPULAR_CR43</t>
  </si>
  <si>
    <t>FRT89685</t>
  </si>
  <si>
    <t>BANCO_POPULAR_CR49</t>
  </si>
  <si>
    <t>FRT89182</t>
  </si>
  <si>
    <t>BKAL_BEL_CR50_3053</t>
  </si>
  <si>
    <t>FRT76483</t>
  </si>
  <si>
    <t>BKAL_MED_CR32_141</t>
  </si>
  <si>
    <t>FRT76451</t>
  </si>
  <si>
    <t>BKAL_MEDELLIN_3188</t>
  </si>
  <si>
    <t>FRT76490</t>
  </si>
  <si>
    <t>BODYTECH_A37_INT1501</t>
  </si>
  <si>
    <t>FRT85022</t>
  </si>
  <si>
    <t>BODYTECH_CR49</t>
  </si>
  <si>
    <t>FRT74774</t>
  </si>
  <si>
    <t>BODYTECH_ENVIGADO</t>
  </si>
  <si>
    <t>FRT77551</t>
  </si>
  <si>
    <t>BODYTECHCR36D</t>
  </si>
  <si>
    <t>FRT24052</t>
  </si>
  <si>
    <t>BODYTECHTV27</t>
  </si>
  <si>
    <t>FRT28353</t>
  </si>
  <si>
    <t>BRAL_CR50_INT_2430</t>
  </si>
  <si>
    <t>FRT85118</t>
  </si>
  <si>
    <t>BRAL_CR70_INT_443</t>
  </si>
  <si>
    <t>FRT85318</t>
  </si>
  <si>
    <t>BRAL_CR70_INT_501</t>
  </si>
  <si>
    <t>FRT85320</t>
  </si>
  <si>
    <t>CC_DIAMANTE</t>
  </si>
  <si>
    <t>FRT49078</t>
  </si>
  <si>
    <t>CC_San_Fe_ALMA</t>
  </si>
  <si>
    <t>FRT65659</t>
  </si>
  <si>
    <t>CC_San_Fe_Montolivo</t>
  </si>
  <si>
    <t>FRT65606</t>
  </si>
  <si>
    <t>CCELDIAMANTE113</t>
  </si>
  <si>
    <t>FRT51688</t>
  </si>
  <si>
    <t>CCELDIAMANTE127</t>
  </si>
  <si>
    <t>FRT51648</t>
  </si>
  <si>
    <t>CENTRO_NG_DIEZ</t>
  </si>
  <si>
    <t>FRT90265</t>
  </si>
  <si>
    <t>CHEF_BURG_OF1</t>
  </si>
  <si>
    <t>FRT63820</t>
  </si>
  <si>
    <t>CHEFBUR_CTA2</t>
  </si>
  <si>
    <t>FRT56336</t>
  </si>
  <si>
    <t>CHILCO</t>
  </si>
  <si>
    <t>FRT87785</t>
  </si>
  <si>
    <t>COLLIERS_MED_INT_2</t>
  </si>
  <si>
    <t>FRT80204</t>
  </si>
  <si>
    <t>DIAMANTE120</t>
  </si>
  <si>
    <t>FRT43647</t>
  </si>
  <si>
    <t>DIAMANTE134</t>
  </si>
  <si>
    <t>FRT42615</t>
  </si>
  <si>
    <t>DIEZ_CLL_10A_CR_34</t>
  </si>
  <si>
    <t>FRT90264</t>
  </si>
  <si>
    <t>DIEZ_CLL_10A_INT1127</t>
  </si>
  <si>
    <t>FRT92035</t>
  </si>
  <si>
    <t>DIEZ_INT_1001</t>
  </si>
  <si>
    <t>FRT90270</t>
  </si>
  <si>
    <t>DIEZ_INT_1115</t>
  </si>
  <si>
    <t>FRT90268</t>
  </si>
  <si>
    <t>DIST_RIOGRANDE</t>
  </si>
  <si>
    <t>FRT71001</t>
  </si>
  <si>
    <t>DISTRAVES_CL100_MED</t>
  </si>
  <si>
    <t>FRT83747</t>
  </si>
  <si>
    <t>DISTRAVES_L16_BQ19</t>
  </si>
  <si>
    <t>FRT78455</t>
  </si>
  <si>
    <t>DISTRAVES_NUTIBARA</t>
  </si>
  <si>
    <t>FRT76700</t>
  </si>
  <si>
    <t>DISTRAVES_PLACITA</t>
  </si>
  <si>
    <t>FRT79498</t>
  </si>
  <si>
    <t>DISTRAVES_PUERTOB</t>
  </si>
  <si>
    <t>FRT78297</t>
  </si>
  <si>
    <t>DISTRAVES_RIONEGRO</t>
  </si>
  <si>
    <t>FRT82940</t>
  </si>
  <si>
    <t>DISTRIB_RIOGRANDE</t>
  </si>
  <si>
    <t>FRT75384</t>
  </si>
  <si>
    <t>DOMINOS_AGUACATALA</t>
  </si>
  <si>
    <t>FRT89191</t>
  </si>
  <si>
    <t>DOMINOS_BARICHARA</t>
  </si>
  <si>
    <t>FRT80223</t>
  </si>
  <si>
    <t>DOMINOS_CENTRO_MED</t>
  </si>
  <si>
    <t>FRT80295</t>
  </si>
  <si>
    <t>DOMINOS_CL10_POBLADO</t>
  </si>
  <si>
    <t>FRT85442</t>
  </si>
  <si>
    <t>DOMINOS_ENV_CR27D</t>
  </si>
  <si>
    <t>FRT79913</t>
  </si>
  <si>
    <t>DOMINOS_ENVIG_71</t>
  </si>
  <si>
    <t>FRT80124</t>
  </si>
  <si>
    <t>DOMINOS_ESTRE_143</t>
  </si>
  <si>
    <t>FRT79472</t>
  </si>
  <si>
    <t>DOMINOS_OBELISCO</t>
  </si>
  <si>
    <t>FRT82217</t>
  </si>
  <si>
    <t>DOMINOS_SAN_DIEGO</t>
  </si>
  <si>
    <t>FRT80220</t>
  </si>
  <si>
    <t>DOMINOS_SAN_FERNANDO</t>
  </si>
  <si>
    <t>FRT86835</t>
  </si>
  <si>
    <t>DOMINOS_VISITACION</t>
  </si>
  <si>
    <t>FRT85444</t>
  </si>
  <si>
    <t>DON_CHURRO_CCMAY</t>
  </si>
  <si>
    <t>FRT64929</t>
  </si>
  <si>
    <t>EURO_MAYO</t>
  </si>
  <si>
    <t>FRT29127</t>
  </si>
  <si>
    <t>GIRTEX</t>
  </si>
  <si>
    <t>FRT87853</t>
  </si>
  <si>
    <t>GRUPOCBC</t>
  </si>
  <si>
    <t>FRT54537</t>
  </si>
  <si>
    <t>HOMEBURGER1</t>
  </si>
  <si>
    <t>FRT50084</t>
  </si>
  <si>
    <t>HOMEBURGER2</t>
  </si>
  <si>
    <t>FRT50919</t>
  </si>
  <si>
    <t>HOMEBURGER3</t>
  </si>
  <si>
    <t>FRT50423</t>
  </si>
  <si>
    <t>HUSATEX_RIONEG_B16</t>
  </si>
  <si>
    <t>FRT78326</t>
  </si>
  <si>
    <t>JUAN_D_HOYOS_APART</t>
  </si>
  <si>
    <t>FRT82225</t>
  </si>
  <si>
    <t>JUAN_DISTRIBUCIONES</t>
  </si>
  <si>
    <t>FRT89340</t>
  </si>
  <si>
    <t>JUAND_CRA42_INT5031</t>
  </si>
  <si>
    <t>FRT83731</t>
  </si>
  <si>
    <t>JUAND_CRA42_INT6032</t>
  </si>
  <si>
    <t>FRT83756</t>
  </si>
  <si>
    <t>KFC_JUNIN</t>
  </si>
  <si>
    <t>FRT54412</t>
  </si>
  <si>
    <t>KFC_LACENTRAL</t>
  </si>
  <si>
    <t>FRT54411</t>
  </si>
  <si>
    <t>KFC_VIVAENVIG</t>
  </si>
  <si>
    <t>FRT56425</t>
  </si>
  <si>
    <t>LACT_BUENAVISTA</t>
  </si>
  <si>
    <t>FRT43530</t>
  </si>
  <si>
    <t>LAFAYETTE_TSUR</t>
  </si>
  <si>
    <t>FRT66155</t>
  </si>
  <si>
    <t>LOCATEL_CR13_CLL26</t>
  </si>
  <si>
    <t>FRT89282</t>
  </si>
  <si>
    <t>MADISON_CRV</t>
  </si>
  <si>
    <t>FRT51751</t>
  </si>
  <si>
    <t>MADISON_CTA1MAR</t>
  </si>
  <si>
    <t>FRT51741</t>
  </si>
  <si>
    <t>MADISON_CTA1MED</t>
  </si>
  <si>
    <t>FRT51744</t>
  </si>
  <si>
    <t>MADISON_CTA2MAR</t>
  </si>
  <si>
    <t>FRT51742</t>
  </si>
  <si>
    <t>MADISON_CTA2MED</t>
  </si>
  <si>
    <t>FRT51754</t>
  </si>
  <si>
    <t>MADISON_CTA3MED</t>
  </si>
  <si>
    <t>FRT51747</t>
  </si>
  <si>
    <t>MADISON_CTA4MED</t>
  </si>
  <si>
    <t>FRT51748</t>
  </si>
  <si>
    <t>MADISON_RGR</t>
  </si>
  <si>
    <t>FRT51635</t>
  </si>
  <si>
    <t>MAXIMO</t>
  </si>
  <si>
    <t>FRT02698</t>
  </si>
  <si>
    <t>MERKE_EST</t>
  </si>
  <si>
    <t>FRT31117</t>
  </si>
  <si>
    <t>MJA_2</t>
  </si>
  <si>
    <t>FRT71004</t>
  </si>
  <si>
    <t>MONTOLIVO_LACENT</t>
  </si>
  <si>
    <t>FRT51522</t>
  </si>
  <si>
    <t>MR_BONO_APAR</t>
  </si>
  <si>
    <t>FRT63422</t>
  </si>
  <si>
    <t>MUNCHER</t>
  </si>
  <si>
    <t>FRT66861</t>
  </si>
  <si>
    <t>MUNCHER_UP_1</t>
  </si>
  <si>
    <t>FRT64475</t>
  </si>
  <si>
    <t>NCS_CL30</t>
  </si>
  <si>
    <t>FRT60315</t>
  </si>
  <si>
    <t>NCS_CR48ENV</t>
  </si>
  <si>
    <t>FRT60457</t>
  </si>
  <si>
    <t>NCS_CR50</t>
  </si>
  <si>
    <t>FRT60043</t>
  </si>
  <si>
    <t>NCS_CR52</t>
  </si>
  <si>
    <t>FRT60754</t>
  </si>
  <si>
    <t>OLAYA_HERERERA_154</t>
  </si>
  <si>
    <t>FRT49493</t>
  </si>
  <si>
    <t>OLAYA_HERERERA_156</t>
  </si>
  <si>
    <t>FRT49495</t>
  </si>
  <si>
    <t>SANBASILIO_ALMAC</t>
  </si>
  <si>
    <t>FRT51646</t>
  </si>
  <si>
    <t>SANBASILIO_OV</t>
  </si>
  <si>
    <t>FRT51647</t>
  </si>
  <si>
    <t>SANBASILIO_SANDIE</t>
  </si>
  <si>
    <t>FRT51645</t>
  </si>
  <si>
    <t>SANBASILIO_UNMED</t>
  </si>
  <si>
    <t>FRT51637</t>
  </si>
  <si>
    <t>SANBASILIO_VIVAE</t>
  </si>
  <si>
    <t>FRT54413</t>
  </si>
  <si>
    <t>SOLO_PROVEEDOR_AZTEC</t>
  </si>
  <si>
    <t>FRT41301</t>
  </si>
  <si>
    <t>STARBUCKS_CALLE100</t>
  </si>
  <si>
    <t>FRT89162</t>
  </si>
  <si>
    <t>STARBUCKS_ESTRELLA</t>
  </si>
  <si>
    <t>FRT87858</t>
  </si>
  <si>
    <t>STARBUCKS_FABRICATO</t>
  </si>
  <si>
    <t>FRT90207</t>
  </si>
  <si>
    <t>SUPERM_EURO_32_12</t>
  </si>
  <si>
    <t>FRT75551</t>
  </si>
  <si>
    <t>VIAJ_HOSTELS_PENOL</t>
  </si>
  <si>
    <t>FRT66981</t>
  </si>
  <si>
    <t>VINAGRES_FINOS_195</t>
  </si>
  <si>
    <t>FRT75540</t>
  </si>
  <si>
    <t xml:space="preserve">Total por nivel de tensión </t>
  </si>
  <si>
    <t>(nivel 1):</t>
  </si>
  <si>
    <t>nivel 2</t>
  </si>
  <si>
    <t>AXIONLOG</t>
  </si>
  <si>
    <t>FRT70782</t>
  </si>
  <si>
    <t>BYCSA1</t>
  </si>
  <si>
    <t>FRT24341</t>
  </si>
  <si>
    <t>COLLIERS_MED_INT_3</t>
  </si>
  <si>
    <t>FRT80281</t>
  </si>
  <si>
    <t>CONF_MILLAR_CR50</t>
  </si>
  <si>
    <t>FRT75044</t>
  </si>
  <si>
    <t>EADE_ALF_PUEB_VIEJO2</t>
  </si>
  <si>
    <t>FRT23927</t>
  </si>
  <si>
    <t>EURO_ARKADIA</t>
  </si>
  <si>
    <t>FRT39854</t>
  </si>
  <si>
    <t>EURO_CR27_CLL35</t>
  </si>
  <si>
    <t>FRT89194</t>
  </si>
  <si>
    <t>EURO_FLORIDA</t>
  </si>
  <si>
    <t>FRT29733</t>
  </si>
  <si>
    <t>EURO_FRON</t>
  </si>
  <si>
    <t>FRT29126</t>
  </si>
  <si>
    <t>EURO_LAUR</t>
  </si>
  <si>
    <t>FRT29080</t>
  </si>
  <si>
    <t>EURO_LLANO</t>
  </si>
  <si>
    <t>FRT39848</t>
  </si>
  <si>
    <t>EURO_LOMA</t>
  </si>
  <si>
    <t>FRT29462</t>
  </si>
  <si>
    <t>EURO_MURANO</t>
  </si>
  <si>
    <t>FRT45510</t>
  </si>
  <si>
    <t>EURO_PALMAG</t>
  </si>
  <si>
    <t>FRT29378</t>
  </si>
  <si>
    <t>EURO_SABA</t>
  </si>
  <si>
    <t>FRT30453</t>
  </si>
  <si>
    <t>EXCARBON</t>
  </si>
  <si>
    <t>FRT71014</t>
  </si>
  <si>
    <t>HOLCIM_COLOMBIA</t>
  </si>
  <si>
    <t>FRT89676</t>
  </si>
  <si>
    <t>HOTEL_CLICK</t>
  </si>
  <si>
    <t>FRT50010</t>
  </si>
  <si>
    <t>IKSO_VIVA_ENVIGADO</t>
  </si>
  <si>
    <t>FRT72417</t>
  </si>
  <si>
    <t>POLAR</t>
  </si>
  <si>
    <t>FRT18755</t>
  </si>
  <si>
    <t>QOFFICE</t>
  </si>
  <si>
    <t>FRT32505</t>
  </si>
  <si>
    <t>ROFI_APAR</t>
  </si>
  <si>
    <t>FRT32439</t>
  </si>
  <si>
    <t>SERVIBARRAS</t>
  </si>
  <si>
    <t>FRT08224</t>
  </si>
  <si>
    <t>SOLO_PROVEEDOR</t>
  </si>
  <si>
    <t>FRT41300</t>
  </si>
  <si>
    <t>SUPERM_EURO_79A_42</t>
  </si>
  <si>
    <t>FRT75450</t>
  </si>
  <si>
    <t>(nivel 2):</t>
  </si>
  <si>
    <t>Total por exceso de energía reactiva del SDL</t>
  </si>
  <si>
    <t>INGRESO POR EXCESO DE ENERGÍA REACTIVA STR XM</t>
  </si>
  <si>
    <r>
      <rPr>
        <b/>
        <sz val="10"/>
        <color rgb="FFFFFFFF"/>
        <rFont val="Tahoma"/>
      </rPr>
      <t xml:space="preserve">ENERGÍA 
</t>
    </r>
    <r>
      <rPr>
        <b/>
        <sz val="10"/>
        <color rgb="FFFFFFFF"/>
        <rFont val="Tahoma"/>
      </rPr>
      <t>Exceso reactiva inductiva STR
(KVAR)</t>
    </r>
  </si>
  <si>
    <r>
      <rPr>
        <b/>
        <sz val="10"/>
        <color rgb="FFFFFFFF"/>
        <rFont val="Tahoma"/>
      </rPr>
      <t xml:space="preserve">ENERGÍA 
</t>
    </r>
    <r>
      <rPr>
        <b/>
        <sz val="10"/>
        <color rgb="FFFFFFFF"/>
        <rFont val="Tahoma"/>
      </rPr>
      <t>Exceso reactiva capacitiva STR
(KVAR)</t>
    </r>
  </si>
  <si>
    <r>
      <rPr>
        <b/>
        <sz val="10"/>
        <color rgb="FFFFFFFF"/>
        <rFont val="Tahoma"/>
      </rPr>
      <t xml:space="preserve">INGRESO 
</t>
    </r>
    <r>
      <rPr>
        <b/>
        <sz val="10"/>
        <color rgb="FFFFFFFF"/>
        <rFont val="Tahoma"/>
      </rPr>
      <t>Exceso reactiva STR ($)</t>
    </r>
  </si>
  <si>
    <t>Total por exceso de energía reactiva del STR</t>
  </si>
  <si>
    <t>Total ingreso por agente (BIAC - BIA ENERGY):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</si>
</sst>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.00"/>
    <numFmt numFmtId="165" formatCode="[$-10409]0;\(0\)"/>
    <numFmt numFmtId="166" formatCode="[$-10409]#,##0.00;\(#,##0.00\)"/>
  </numFmts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2"/>
      <color rgb="FF81C240"/>
      <name val="Arial"/>
    </font>
    <font>
      <sz val="12"/>
      <color rgb="FF81C240"/>
      <name val="Arial"/>
    </font>
    <font>
      <sz val="10"/>
      <color rgb="FF81C240"/>
      <name val="Arial"/>
    </font>
    <font>
      <b/>
      <sz val="10"/>
      <color rgb="FFFFFFFF"/>
      <name val="Tahoma"/>
    </font>
    <font>
      <sz val="10"/>
      <color rgb="FF666666"/>
      <name val="Verdana"/>
    </font>
    <font>
      <sz val="10"/>
      <color rgb="FF000000"/>
      <name val="Verdana"/>
    </font>
    <font>
      <sz val="10"/>
      <color rgb="FFFF0000"/>
      <name val="Verdana"/>
    </font>
    <font>
      <b/>
      <sz val="9"/>
      <color rgb="FF666666"/>
      <name val="Verdana"/>
    </font>
    <font>
      <b/>
      <sz val="10"/>
      <color rgb="FF666666"/>
      <name val="Verdana"/>
    </font>
  </fonts>
  <fills count="3">
    <fill>
      <patternFill patternType="none"/>
    </fill>
    <fill>
      <patternFill patternType="gray125"/>
    </fill>
    <fill>
      <patternFill patternType="solid">
        <fgColor rgb="FF7BBE11"/>
        <bgColor rgb="FF7BBE11"/>
      </patternFill>
    </fill>
  </fills>
  <borders count="9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/>
      <bottom/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6" fillId="2" borderId="1" xfId="0" applyFont="1" applyFill="1" applyBorder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166" fontId="7" fillId="0" borderId="1" xfId="0" applyNumberFormat="1" applyFont="1" applyBorder="1" applyAlignment="1">
      <alignment horizontal="right" vertical="top" wrapText="1" readingOrder="1"/>
    </xf>
    <xf numFmtId="0" fontId="9" fillId="0" borderId="1" xfId="0" applyFont="1" applyBorder="1" applyAlignment="1">
      <alignment horizontal="right" vertical="top" wrapText="1" readingOrder="1"/>
    </xf>
    <xf numFmtId="0" fontId="10" fillId="0" borderId="1" xfId="0" applyFont="1" applyBorder="1" applyAlignment="1">
      <alignment horizontal="right" vertical="top" wrapText="1" readingOrder="1"/>
    </xf>
    <xf numFmtId="166" fontId="10" fillId="0" borderId="1" xfId="0" applyNumberFormat="1" applyFont="1" applyBorder="1" applyAlignment="1">
      <alignment horizontal="right" vertical="top" wrapText="1" readingOrder="1"/>
    </xf>
    <xf numFmtId="164" fontId="10" fillId="0" borderId="1" xfId="0" applyNumberFormat="1" applyFont="1" applyBorder="1" applyAlignment="1">
      <alignment horizontal="right" vertical="top" wrapText="1" readingOrder="1"/>
    </xf>
    <xf numFmtId="0" fontId="11" fillId="0" borderId="1" xfId="0" applyFont="1" applyBorder="1" applyAlignment="1">
      <alignment horizontal="right" vertical="top" wrapText="1" readingOrder="1"/>
    </xf>
    <xf numFmtId="166" fontId="11" fillId="0" borderId="1" xfId="0" applyNumberFormat="1" applyFont="1" applyBorder="1" applyAlignment="1">
      <alignment horizontal="right" vertical="top" wrapText="1" readingOrder="1"/>
    </xf>
    <xf numFmtId="166" fontId="11" fillId="0" borderId="0" xfId="0" applyNumberFormat="1" applyFont="1" applyAlignment="1">
      <alignment horizontal="right" vertical="top" wrapText="1" readingOrder="1"/>
    </xf>
    <xf numFmtId="0" fontId="11" fillId="0" borderId="1" xfId="0" applyFont="1" applyBorder="1" applyAlignment="1">
      <alignment horizontal="righ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 readingOrder="1"/>
    </xf>
    <xf numFmtId="0" fontId="11" fillId="0" borderId="0" xfId="0" applyFont="1" applyAlignment="1">
      <alignment horizontal="right" vertical="top" wrapText="1" readingOrder="1"/>
    </xf>
    <xf numFmtId="0" fontId="1" fillId="0" borderId="0" xfId="0" applyFont="1"/>
    <xf numFmtId="0" fontId="8" fillId="0" borderId="1" xfId="0" applyFont="1" applyBorder="1" applyAlignment="1">
      <alignment horizontal="right" vertical="top" wrapText="1" readingOrder="1"/>
    </xf>
    <xf numFmtId="0" fontId="10" fillId="0" borderId="1" xfId="0" applyFont="1" applyBorder="1" applyAlignment="1">
      <alignment horizontal="right" vertical="top" wrapText="1" readingOrder="1"/>
    </xf>
    <xf numFmtId="0" fontId="10" fillId="0" borderId="1" xfId="0" applyFont="1" applyBorder="1" applyAlignment="1">
      <alignment horizontal="left" vertical="top" wrapText="1" readingOrder="1"/>
    </xf>
    <xf numFmtId="0" fontId="9" fillId="0" borderId="1" xfId="0" applyFont="1" applyBorder="1" applyAlignment="1">
      <alignment horizontal="right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 readingOrder="1"/>
    </xf>
    <xf numFmtId="0" fontId="6" fillId="2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679196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C8291-4F22-4AEE-82F8-2AFD9BF511C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"/>
          <a:ext cx="1428496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1C44-D5CE-4D2B-809D-A46E220F61C3}">
  <sheetPr codeName="Hoja1"/>
  <dimension ref="A1:Q293"/>
  <sheetViews>
    <sheetView showGridLines="0" tabSelected="1" zoomScale="70" zoomScaleNormal="70" workbookViewId="0">
      <pane ySplit="6" topLeftCell="A270" activePane="bottomLeft" state="frozen"/>
      <selection pane="bottomLeft" activeCell="K292" sqref="K292"/>
    </sheetView>
  </sheetViews>
  <sheetFormatPr baseColWidth="10" defaultRowHeight="14.5" x14ac:dyDescent="0.35"/>
  <cols>
    <col min="1" max="1" width="0.1796875" style="1" customWidth="1"/>
    <col min="2" max="2" width="10.6328125" style="1" customWidth="1"/>
    <col min="3" max="3" width="10.81640625" style="1" customWidth="1"/>
    <col min="4" max="4" width="0.1796875" style="1" customWidth="1"/>
    <col min="5" max="5" width="21.453125" style="1" customWidth="1"/>
    <col min="6" max="6" width="13.54296875" style="1" customWidth="1"/>
    <col min="7" max="9" width="10.81640625" style="1" customWidth="1"/>
    <col min="10" max="10" width="21.6328125" style="1" customWidth="1"/>
    <col min="11" max="11" width="18.90625" style="1" customWidth="1"/>
    <col min="12" max="12" width="13.54296875" style="1" customWidth="1"/>
    <col min="13" max="13" width="19.7265625" style="1" customWidth="1"/>
    <col min="14" max="14" width="5.36328125" style="1" customWidth="1"/>
    <col min="15" max="15" width="0.1796875" style="1" customWidth="1"/>
    <col min="16" max="16" width="7.90625" style="1" customWidth="1"/>
    <col min="17" max="17" width="18.90625" style="1" customWidth="1"/>
    <col min="18" max="18" width="0" style="1" hidden="1" customWidth="1"/>
    <col min="19" max="16384" width="10.90625" style="1"/>
  </cols>
  <sheetData>
    <row r="1" spans="1:17" ht="0.75" customHeight="1" x14ac:dyDescent="0.35"/>
    <row r="2" spans="1:17" ht="2" customHeight="1" x14ac:dyDescent="0.35">
      <c r="A2" s="20"/>
      <c r="B2" s="20"/>
      <c r="C2" s="20"/>
    </row>
    <row r="3" spans="1:17" ht="33.75" customHeight="1" x14ac:dyDescent="0.35">
      <c r="A3" s="20"/>
      <c r="B3" s="20"/>
      <c r="C3" s="20"/>
      <c r="E3" s="32" t="s">
        <v>0</v>
      </c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ht="16.25" customHeight="1" x14ac:dyDescent="0.35">
      <c r="A4" s="20"/>
      <c r="B4" s="20"/>
      <c r="C4" s="20"/>
      <c r="D4" s="33" t="s">
        <v>1</v>
      </c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7" ht="0.25" customHeight="1" x14ac:dyDescent="0.35">
      <c r="A5" s="20"/>
      <c r="B5" s="20"/>
      <c r="C5" s="20"/>
    </row>
    <row r="6" spans="1:17" ht="16.75" customHeight="1" x14ac:dyDescent="0.35"/>
    <row r="7" spans="1:17" ht="7.5" customHeight="1" x14ac:dyDescent="0.35"/>
    <row r="8" spans="1:17" ht="17" customHeight="1" x14ac:dyDescent="0.35">
      <c r="A8" s="34" t="s">
        <v>2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7" ht="5.65" customHeight="1" x14ac:dyDescent="0.35"/>
    <row r="10" spans="1:17" ht="15.25" customHeight="1" x14ac:dyDescent="0.35">
      <c r="A10" s="35" t="s">
        <v>3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2" spans="1:17" x14ac:dyDescent="0.35">
      <c r="A12" s="30" t="s">
        <v>4</v>
      </c>
      <c r="B12" s="17"/>
      <c r="C12" s="30" t="s">
        <v>4</v>
      </c>
      <c r="D12" s="16"/>
      <c r="E12" s="17"/>
      <c r="F12" s="2" t="s">
        <v>4</v>
      </c>
      <c r="G12" s="31" t="s">
        <v>5</v>
      </c>
      <c r="H12" s="16"/>
      <c r="I12" s="16"/>
      <c r="J12" s="16"/>
      <c r="K12" s="16"/>
      <c r="L12" s="16"/>
      <c r="M12" s="16"/>
      <c r="N12" s="16"/>
      <c r="O12" s="16"/>
      <c r="P12" s="16"/>
      <c r="Q12" s="17"/>
    </row>
    <row r="13" spans="1:17" ht="50" x14ac:dyDescent="0.35">
      <c r="A13" s="30" t="s">
        <v>6</v>
      </c>
      <c r="B13" s="17"/>
      <c r="C13" s="30" t="s">
        <v>7</v>
      </c>
      <c r="D13" s="16"/>
      <c r="E13" s="17"/>
      <c r="F13" s="2" t="s">
        <v>8</v>
      </c>
      <c r="G13" s="2" t="s">
        <v>9</v>
      </c>
      <c r="H13" s="2" t="s">
        <v>10</v>
      </c>
      <c r="I13" s="2" t="s">
        <v>11</v>
      </c>
      <c r="J13" s="2" t="s">
        <v>12</v>
      </c>
      <c r="K13" s="2" t="s">
        <v>13</v>
      </c>
      <c r="L13" s="2" t="s">
        <v>14</v>
      </c>
      <c r="M13" s="2" t="s">
        <v>15</v>
      </c>
      <c r="N13" s="30" t="s">
        <v>16</v>
      </c>
      <c r="O13" s="16"/>
      <c r="P13" s="17"/>
      <c r="Q13" s="2" t="s">
        <v>17</v>
      </c>
    </row>
    <row r="14" spans="1:17" x14ac:dyDescent="0.35">
      <c r="A14" s="18" t="s">
        <v>18</v>
      </c>
      <c r="B14" s="25"/>
      <c r="C14" s="18" t="s">
        <v>19</v>
      </c>
      <c r="D14" s="16"/>
      <c r="E14" s="17"/>
      <c r="F14" s="3" t="s">
        <v>20</v>
      </c>
      <c r="G14" s="3" t="s">
        <v>21</v>
      </c>
      <c r="H14" s="4">
        <v>1</v>
      </c>
      <c r="I14" s="4">
        <v>198.00476699999999</v>
      </c>
      <c r="J14" s="5">
        <v>1</v>
      </c>
      <c r="K14" s="4">
        <v>28.911027000000001</v>
      </c>
      <c r="L14" s="6">
        <v>0.98340000000000005</v>
      </c>
      <c r="M14" s="7">
        <v>0</v>
      </c>
      <c r="N14" s="21">
        <v>0.99992999999999999</v>
      </c>
      <c r="O14" s="16"/>
      <c r="P14" s="17"/>
      <c r="Q14" s="7">
        <f>((M14+K14)*J14)*I14</f>
        <v>5724.5211648657087</v>
      </c>
    </row>
    <row r="15" spans="1:17" x14ac:dyDescent="0.35">
      <c r="A15" s="26"/>
      <c r="B15" s="27"/>
      <c r="C15" s="18" t="s">
        <v>22</v>
      </c>
      <c r="D15" s="16"/>
      <c r="E15" s="17"/>
      <c r="F15" s="3" t="s">
        <v>23</v>
      </c>
      <c r="G15" s="3" t="s">
        <v>21</v>
      </c>
      <c r="H15" s="4">
        <v>1</v>
      </c>
      <c r="I15" s="4">
        <v>198.00476699999999</v>
      </c>
      <c r="J15" s="5">
        <v>1</v>
      </c>
      <c r="K15" s="4">
        <v>81.004777000000004</v>
      </c>
      <c r="L15" s="6">
        <v>0.97063900000000003</v>
      </c>
      <c r="M15" s="7">
        <v>0</v>
      </c>
      <c r="N15" s="21">
        <v>0.999448</v>
      </c>
      <c r="O15" s="16"/>
      <c r="P15" s="17"/>
      <c r="Q15" s="7">
        <f t="shared" ref="Q15:Q78" si="0">((M15+K15)*J15)*I15</f>
        <v>16039.33199577196</v>
      </c>
    </row>
    <row r="16" spans="1:17" x14ac:dyDescent="0.35">
      <c r="A16" s="26"/>
      <c r="B16" s="27"/>
      <c r="C16" s="18" t="s">
        <v>24</v>
      </c>
      <c r="D16" s="16"/>
      <c r="E16" s="17"/>
      <c r="F16" s="3" t="s">
        <v>25</v>
      </c>
      <c r="G16" s="3" t="s">
        <v>21</v>
      </c>
      <c r="H16" s="4">
        <v>1</v>
      </c>
      <c r="I16" s="4">
        <v>198.00476699999999</v>
      </c>
      <c r="J16" s="5">
        <v>1</v>
      </c>
      <c r="K16" s="4">
        <v>127.39642600000001</v>
      </c>
      <c r="L16" s="6">
        <v>0.99715799999999999</v>
      </c>
      <c r="M16" s="7">
        <v>0</v>
      </c>
      <c r="N16" s="21">
        <v>0.99517</v>
      </c>
      <c r="O16" s="16"/>
      <c r="P16" s="17"/>
      <c r="Q16" s="7">
        <f t="shared" si="0"/>
        <v>25225.099646762741</v>
      </c>
    </row>
    <row r="17" spans="1:17" x14ac:dyDescent="0.35">
      <c r="A17" s="26"/>
      <c r="B17" s="27"/>
      <c r="C17" s="18" t="s">
        <v>26</v>
      </c>
      <c r="D17" s="16"/>
      <c r="E17" s="17"/>
      <c r="F17" s="3" t="s">
        <v>27</v>
      </c>
      <c r="G17" s="3" t="s">
        <v>21</v>
      </c>
      <c r="H17" s="4">
        <v>1</v>
      </c>
      <c r="I17" s="4">
        <v>198.00476699999999</v>
      </c>
      <c r="J17" s="5">
        <v>1</v>
      </c>
      <c r="K17" s="4">
        <v>1.7047049999999999</v>
      </c>
      <c r="L17" s="6">
        <v>0.99244500000000002</v>
      </c>
      <c r="M17" s="7">
        <v>0</v>
      </c>
      <c r="N17" s="21">
        <v>0.99928399999999995</v>
      </c>
      <c r="O17" s="16"/>
      <c r="P17" s="17"/>
      <c r="Q17" s="7">
        <f t="shared" si="0"/>
        <v>337.53971632873498</v>
      </c>
    </row>
    <row r="18" spans="1:17" x14ac:dyDescent="0.35">
      <c r="A18" s="26"/>
      <c r="B18" s="27"/>
      <c r="C18" s="18" t="s">
        <v>28</v>
      </c>
      <c r="D18" s="16"/>
      <c r="E18" s="17"/>
      <c r="F18" s="3" t="s">
        <v>29</v>
      </c>
      <c r="G18" s="3" t="s">
        <v>21</v>
      </c>
      <c r="H18" s="4">
        <v>1</v>
      </c>
      <c r="I18" s="4">
        <v>266.74336099999999</v>
      </c>
      <c r="J18" s="5">
        <v>1</v>
      </c>
      <c r="K18" s="4">
        <v>360.73179299999998</v>
      </c>
      <c r="L18" s="8">
        <v>0.88905500000000004</v>
      </c>
      <c r="M18" s="7">
        <v>0</v>
      </c>
      <c r="N18" s="21">
        <v>0.99999800000000005</v>
      </c>
      <c r="O18" s="16"/>
      <c r="P18" s="17"/>
      <c r="Q18" s="7">
        <f t="shared" si="0"/>
        <v>96222.81088437626</v>
      </c>
    </row>
    <row r="19" spans="1:17" x14ac:dyDescent="0.35">
      <c r="A19" s="26"/>
      <c r="B19" s="27"/>
      <c r="C19" s="18" t="s">
        <v>30</v>
      </c>
      <c r="D19" s="16"/>
      <c r="E19" s="17"/>
      <c r="F19" s="3" t="s">
        <v>31</v>
      </c>
      <c r="G19" s="3" t="s">
        <v>21</v>
      </c>
      <c r="H19" s="4">
        <v>1</v>
      </c>
      <c r="I19" s="4">
        <v>266.74336099999999</v>
      </c>
      <c r="J19" s="5">
        <v>1</v>
      </c>
      <c r="K19" s="4">
        <v>134.11080000000001</v>
      </c>
      <c r="L19" s="8"/>
      <c r="M19" s="7">
        <v>0</v>
      </c>
      <c r="N19" s="24"/>
      <c r="O19" s="16"/>
      <c r="P19" s="17"/>
      <c r="Q19" s="7">
        <f t="shared" si="0"/>
        <v>35773.165538398804</v>
      </c>
    </row>
    <row r="20" spans="1:17" x14ac:dyDescent="0.35">
      <c r="A20" s="26"/>
      <c r="B20" s="27"/>
      <c r="C20" s="18" t="s">
        <v>32</v>
      </c>
      <c r="D20" s="16"/>
      <c r="E20" s="17"/>
      <c r="F20" s="3" t="s">
        <v>33</v>
      </c>
      <c r="G20" s="3" t="s">
        <v>21</v>
      </c>
      <c r="H20" s="4">
        <v>1</v>
      </c>
      <c r="I20" s="4">
        <v>266.74336099999999</v>
      </c>
      <c r="J20" s="5">
        <v>1</v>
      </c>
      <c r="K20" s="4">
        <v>2.2290139999999998</v>
      </c>
      <c r="L20" s="6">
        <v>0.963808</v>
      </c>
      <c r="M20" s="7">
        <v>0</v>
      </c>
      <c r="N20" s="21">
        <v>0.99975199999999997</v>
      </c>
      <c r="O20" s="16"/>
      <c r="P20" s="17"/>
      <c r="Q20" s="7">
        <f t="shared" si="0"/>
        <v>594.57468607605392</v>
      </c>
    </row>
    <row r="21" spans="1:17" x14ac:dyDescent="0.35">
      <c r="A21" s="26"/>
      <c r="B21" s="27"/>
      <c r="C21" s="18" t="s">
        <v>34</v>
      </c>
      <c r="D21" s="16"/>
      <c r="E21" s="17"/>
      <c r="F21" s="3" t="s">
        <v>35</v>
      </c>
      <c r="G21" s="3" t="s">
        <v>21</v>
      </c>
      <c r="H21" s="4">
        <v>1</v>
      </c>
      <c r="I21" s="4">
        <v>266.74336099999999</v>
      </c>
      <c r="J21" s="5">
        <v>1</v>
      </c>
      <c r="K21" s="4">
        <v>4.47858</v>
      </c>
      <c r="L21" s="6">
        <v>0.97228000000000003</v>
      </c>
      <c r="M21" s="7">
        <v>0</v>
      </c>
      <c r="N21" s="21">
        <v>0.99944900000000003</v>
      </c>
      <c r="O21" s="16"/>
      <c r="P21" s="17"/>
      <c r="Q21" s="7">
        <f t="shared" si="0"/>
        <v>1194.6314817073799</v>
      </c>
    </row>
    <row r="22" spans="1:17" x14ac:dyDescent="0.35">
      <c r="A22" s="26"/>
      <c r="B22" s="27"/>
      <c r="C22" s="18" t="s">
        <v>36</v>
      </c>
      <c r="D22" s="16"/>
      <c r="E22" s="17"/>
      <c r="F22" s="3" t="s">
        <v>37</v>
      </c>
      <c r="G22" s="3" t="s">
        <v>21</v>
      </c>
      <c r="H22" s="4">
        <v>1</v>
      </c>
      <c r="I22" s="4">
        <v>266.74336099999999</v>
      </c>
      <c r="J22" s="5">
        <v>1</v>
      </c>
      <c r="K22" s="4">
        <v>0</v>
      </c>
      <c r="L22" s="6">
        <v>0.98839600000000005</v>
      </c>
      <c r="M22" s="7">
        <v>0</v>
      </c>
      <c r="N22" s="21">
        <v>0.99815299999999996</v>
      </c>
      <c r="O22" s="16"/>
      <c r="P22" s="17"/>
      <c r="Q22" s="7">
        <f t="shared" si="0"/>
        <v>0</v>
      </c>
    </row>
    <row r="23" spans="1:17" x14ac:dyDescent="0.35">
      <c r="A23" s="26"/>
      <c r="B23" s="27"/>
      <c r="C23" s="18" t="s">
        <v>38</v>
      </c>
      <c r="D23" s="16"/>
      <c r="E23" s="17"/>
      <c r="F23" s="3" t="s">
        <v>39</v>
      </c>
      <c r="G23" s="3" t="s">
        <v>21</v>
      </c>
      <c r="H23" s="4">
        <v>1</v>
      </c>
      <c r="I23" s="4">
        <v>198.00476699999999</v>
      </c>
      <c r="J23" s="5">
        <v>1</v>
      </c>
      <c r="K23" s="4">
        <v>0</v>
      </c>
      <c r="L23" s="6">
        <v>0.99373999999999996</v>
      </c>
      <c r="M23" s="7">
        <v>0</v>
      </c>
      <c r="N23" s="21">
        <v>0.99737200000000004</v>
      </c>
      <c r="O23" s="16"/>
      <c r="P23" s="17"/>
      <c r="Q23" s="7">
        <f t="shared" si="0"/>
        <v>0</v>
      </c>
    </row>
    <row r="24" spans="1:17" x14ac:dyDescent="0.35">
      <c r="A24" s="26"/>
      <c r="B24" s="27"/>
      <c r="C24" s="18" t="s">
        <v>40</v>
      </c>
      <c r="D24" s="16"/>
      <c r="E24" s="17"/>
      <c r="F24" s="3" t="s">
        <v>41</v>
      </c>
      <c r="G24" s="3" t="s">
        <v>21</v>
      </c>
      <c r="H24" s="4">
        <v>1</v>
      </c>
      <c r="I24" s="4">
        <v>266.74336099999999</v>
      </c>
      <c r="J24" s="5">
        <v>1</v>
      </c>
      <c r="K24" s="4">
        <v>0</v>
      </c>
      <c r="L24" s="6">
        <v>0.98651999999999995</v>
      </c>
      <c r="M24" s="7">
        <v>0</v>
      </c>
      <c r="N24" s="21">
        <v>0.99183500000000002</v>
      </c>
      <c r="O24" s="16"/>
      <c r="P24" s="17"/>
      <c r="Q24" s="7">
        <f t="shared" si="0"/>
        <v>0</v>
      </c>
    </row>
    <row r="25" spans="1:17" x14ac:dyDescent="0.35">
      <c r="A25" s="26"/>
      <c r="B25" s="27"/>
      <c r="C25" s="18" t="s">
        <v>42</v>
      </c>
      <c r="D25" s="16"/>
      <c r="E25" s="17"/>
      <c r="F25" s="3" t="s">
        <v>43</v>
      </c>
      <c r="G25" s="3" t="s">
        <v>21</v>
      </c>
      <c r="H25" s="4">
        <v>1</v>
      </c>
      <c r="I25" s="4">
        <v>266.74336099999999</v>
      </c>
      <c r="J25" s="5">
        <v>1</v>
      </c>
      <c r="K25" s="4">
        <v>260.03130599999997</v>
      </c>
      <c r="L25" s="6">
        <v>0.92730999999999997</v>
      </c>
      <c r="M25" s="7">
        <v>0</v>
      </c>
      <c r="N25" s="21">
        <v>0.99998900000000002</v>
      </c>
      <c r="O25" s="16"/>
      <c r="P25" s="17"/>
      <c r="Q25" s="7">
        <f t="shared" si="0"/>
        <v>69361.624527659456</v>
      </c>
    </row>
    <row r="26" spans="1:17" x14ac:dyDescent="0.35">
      <c r="A26" s="26"/>
      <c r="B26" s="27"/>
      <c r="C26" s="18" t="s">
        <v>44</v>
      </c>
      <c r="D26" s="16"/>
      <c r="E26" s="17"/>
      <c r="F26" s="3" t="s">
        <v>45</v>
      </c>
      <c r="G26" s="3" t="s">
        <v>21</v>
      </c>
      <c r="H26" s="4">
        <v>1</v>
      </c>
      <c r="I26" s="4">
        <v>198.00476699999999</v>
      </c>
      <c r="J26" s="5">
        <v>1</v>
      </c>
      <c r="K26" s="4">
        <v>173.24604400000001</v>
      </c>
      <c r="L26" s="8">
        <v>0.89991699999999997</v>
      </c>
      <c r="M26" s="7">
        <v>0</v>
      </c>
      <c r="N26" s="21">
        <v>0.99999700000000002</v>
      </c>
      <c r="O26" s="16"/>
      <c r="P26" s="17"/>
      <c r="Q26" s="7">
        <f t="shared" si="0"/>
        <v>34303.542575891748</v>
      </c>
    </row>
    <row r="27" spans="1:17" x14ac:dyDescent="0.35">
      <c r="A27" s="26"/>
      <c r="B27" s="27"/>
      <c r="C27" s="18" t="s">
        <v>46</v>
      </c>
      <c r="D27" s="16"/>
      <c r="E27" s="17"/>
      <c r="F27" s="3" t="s">
        <v>47</v>
      </c>
      <c r="G27" s="3" t="s">
        <v>21</v>
      </c>
      <c r="H27" s="4">
        <v>1</v>
      </c>
      <c r="I27" s="4">
        <v>198.00476699999999</v>
      </c>
      <c r="J27" s="5">
        <v>1</v>
      </c>
      <c r="K27" s="4">
        <v>331.83249499999999</v>
      </c>
      <c r="L27" s="8">
        <v>0.88485800000000003</v>
      </c>
      <c r="M27" s="7">
        <v>0</v>
      </c>
      <c r="N27" s="21">
        <v>0.99936000000000003</v>
      </c>
      <c r="O27" s="16"/>
      <c r="P27" s="17"/>
      <c r="Q27" s="7">
        <f t="shared" si="0"/>
        <v>65704.415855503656</v>
      </c>
    </row>
    <row r="28" spans="1:17" x14ac:dyDescent="0.35">
      <c r="A28" s="26"/>
      <c r="B28" s="27"/>
      <c r="C28" s="18" t="s">
        <v>48</v>
      </c>
      <c r="D28" s="16"/>
      <c r="E28" s="17"/>
      <c r="F28" s="3" t="s">
        <v>49</v>
      </c>
      <c r="G28" s="3" t="s">
        <v>21</v>
      </c>
      <c r="H28" s="4">
        <v>1</v>
      </c>
      <c r="I28" s="4">
        <v>232.374064</v>
      </c>
      <c r="J28" s="5">
        <v>1</v>
      </c>
      <c r="K28" s="4">
        <v>0</v>
      </c>
      <c r="L28" s="6">
        <v>0.99559500000000001</v>
      </c>
      <c r="M28" s="7">
        <v>0</v>
      </c>
      <c r="N28" s="21">
        <v>0.98838700000000002</v>
      </c>
      <c r="O28" s="16"/>
      <c r="P28" s="17"/>
      <c r="Q28" s="7">
        <f t="shared" si="0"/>
        <v>0</v>
      </c>
    </row>
    <row r="29" spans="1:17" x14ac:dyDescent="0.35">
      <c r="A29" s="26"/>
      <c r="B29" s="27"/>
      <c r="C29" s="18" t="s">
        <v>50</v>
      </c>
      <c r="D29" s="16"/>
      <c r="E29" s="17"/>
      <c r="F29" s="3" t="s">
        <v>51</v>
      </c>
      <c r="G29" s="3" t="s">
        <v>21</v>
      </c>
      <c r="H29" s="4">
        <v>1</v>
      </c>
      <c r="I29" s="4">
        <v>198.00476699999999</v>
      </c>
      <c r="J29" s="5">
        <v>1</v>
      </c>
      <c r="K29" s="4">
        <v>0</v>
      </c>
      <c r="L29" s="6">
        <v>0.99981100000000001</v>
      </c>
      <c r="M29" s="7">
        <v>0</v>
      </c>
      <c r="N29" s="21">
        <v>0.99980500000000005</v>
      </c>
      <c r="O29" s="16"/>
      <c r="P29" s="17"/>
      <c r="Q29" s="7">
        <f t="shared" si="0"/>
        <v>0</v>
      </c>
    </row>
    <row r="30" spans="1:17" x14ac:dyDescent="0.35">
      <c r="A30" s="26"/>
      <c r="B30" s="27"/>
      <c r="C30" s="18" t="s">
        <v>52</v>
      </c>
      <c r="D30" s="16"/>
      <c r="E30" s="17"/>
      <c r="F30" s="3" t="s">
        <v>53</v>
      </c>
      <c r="G30" s="3" t="s">
        <v>21</v>
      </c>
      <c r="H30" s="4">
        <v>1</v>
      </c>
      <c r="I30" s="4">
        <v>198.00476699999999</v>
      </c>
      <c r="J30" s="5">
        <v>1</v>
      </c>
      <c r="K30" s="4">
        <v>0</v>
      </c>
      <c r="L30" s="6">
        <v>0.99487499999999995</v>
      </c>
      <c r="M30" s="7">
        <v>0</v>
      </c>
      <c r="N30" s="21">
        <v>0.98431599999999997</v>
      </c>
      <c r="O30" s="16"/>
      <c r="P30" s="17"/>
      <c r="Q30" s="7">
        <f t="shared" si="0"/>
        <v>0</v>
      </c>
    </row>
    <row r="31" spans="1:17" x14ac:dyDescent="0.35">
      <c r="A31" s="26"/>
      <c r="B31" s="27"/>
      <c r="C31" s="18" t="s">
        <v>54</v>
      </c>
      <c r="D31" s="16"/>
      <c r="E31" s="17"/>
      <c r="F31" s="3" t="s">
        <v>55</v>
      </c>
      <c r="G31" s="3" t="s">
        <v>21</v>
      </c>
      <c r="H31" s="4">
        <v>1</v>
      </c>
      <c r="I31" s="4">
        <v>266.74336099999999</v>
      </c>
      <c r="J31" s="5">
        <v>1</v>
      </c>
      <c r="K31" s="4">
        <v>0</v>
      </c>
      <c r="L31" s="6">
        <v>0.96584300000000001</v>
      </c>
      <c r="M31" s="7">
        <v>0</v>
      </c>
      <c r="N31" s="21">
        <v>1</v>
      </c>
      <c r="O31" s="16"/>
      <c r="P31" s="17"/>
      <c r="Q31" s="7">
        <f t="shared" si="0"/>
        <v>0</v>
      </c>
    </row>
    <row r="32" spans="1:17" x14ac:dyDescent="0.35">
      <c r="A32" s="26"/>
      <c r="B32" s="27"/>
      <c r="C32" s="18" t="s">
        <v>56</v>
      </c>
      <c r="D32" s="16"/>
      <c r="E32" s="17"/>
      <c r="F32" s="3" t="s">
        <v>57</v>
      </c>
      <c r="G32" s="3" t="s">
        <v>21</v>
      </c>
      <c r="H32" s="4">
        <v>1</v>
      </c>
      <c r="I32" s="4">
        <v>198.00476699999999</v>
      </c>
      <c r="J32" s="5">
        <v>1</v>
      </c>
      <c r="K32" s="4">
        <v>57.513579999999997</v>
      </c>
      <c r="L32" s="6">
        <v>0.99573999999999996</v>
      </c>
      <c r="M32" s="7">
        <v>0</v>
      </c>
      <c r="N32" s="21">
        <v>1</v>
      </c>
      <c r="O32" s="16"/>
      <c r="P32" s="17"/>
      <c r="Q32" s="7">
        <f t="shared" si="0"/>
        <v>11387.96300723586</v>
      </c>
    </row>
    <row r="33" spans="1:17" x14ac:dyDescent="0.35">
      <c r="A33" s="26"/>
      <c r="B33" s="27"/>
      <c r="C33" s="18" t="s">
        <v>58</v>
      </c>
      <c r="D33" s="16"/>
      <c r="E33" s="17"/>
      <c r="F33" s="3" t="s">
        <v>59</v>
      </c>
      <c r="G33" s="3" t="s">
        <v>21</v>
      </c>
      <c r="H33" s="4">
        <v>1</v>
      </c>
      <c r="I33" s="4">
        <v>198.00476699999999</v>
      </c>
      <c r="J33" s="5">
        <v>1</v>
      </c>
      <c r="K33" s="4">
        <v>49.092264</v>
      </c>
      <c r="L33" s="8">
        <v>0.89904600000000001</v>
      </c>
      <c r="M33" s="7">
        <v>0</v>
      </c>
      <c r="N33" s="21">
        <v>0.99529800000000002</v>
      </c>
      <c r="O33" s="16"/>
      <c r="P33" s="17"/>
      <c r="Q33" s="7">
        <f t="shared" si="0"/>
        <v>9720.5022948224869</v>
      </c>
    </row>
    <row r="34" spans="1:17" x14ac:dyDescent="0.35">
      <c r="A34" s="26"/>
      <c r="B34" s="27"/>
      <c r="C34" s="18" t="s">
        <v>60</v>
      </c>
      <c r="D34" s="16"/>
      <c r="E34" s="17"/>
      <c r="F34" s="3" t="s">
        <v>61</v>
      </c>
      <c r="G34" s="3" t="s">
        <v>21</v>
      </c>
      <c r="H34" s="4">
        <v>1</v>
      </c>
      <c r="I34" s="4">
        <v>232.374064</v>
      </c>
      <c r="J34" s="5">
        <v>1</v>
      </c>
      <c r="K34" s="4">
        <v>376.85313100000002</v>
      </c>
      <c r="L34" s="8">
        <v>0.88196600000000003</v>
      </c>
      <c r="M34" s="7">
        <v>0</v>
      </c>
      <c r="N34" s="21">
        <v>0.99999099999999996</v>
      </c>
      <c r="O34" s="16"/>
      <c r="P34" s="17"/>
      <c r="Q34" s="7">
        <f t="shared" si="0"/>
        <v>87570.893581594384</v>
      </c>
    </row>
    <row r="35" spans="1:17" x14ac:dyDescent="0.35">
      <c r="A35" s="26"/>
      <c r="B35" s="27"/>
      <c r="C35" s="18" t="s">
        <v>62</v>
      </c>
      <c r="D35" s="16"/>
      <c r="E35" s="17"/>
      <c r="F35" s="3" t="s">
        <v>63</v>
      </c>
      <c r="G35" s="3" t="s">
        <v>21</v>
      </c>
      <c r="H35" s="4">
        <v>1</v>
      </c>
      <c r="I35" s="4">
        <v>232.374064</v>
      </c>
      <c r="J35" s="5">
        <v>1</v>
      </c>
      <c r="K35" s="4">
        <v>5.7630520000000001</v>
      </c>
      <c r="L35" s="6">
        <v>0.93245800000000001</v>
      </c>
      <c r="M35" s="7">
        <v>0</v>
      </c>
      <c r="N35" s="21">
        <v>0.99728799999999995</v>
      </c>
      <c r="O35" s="16"/>
      <c r="P35" s="17"/>
      <c r="Q35" s="7">
        <f t="shared" si="0"/>
        <v>1339.183814283328</v>
      </c>
    </row>
    <row r="36" spans="1:17" x14ac:dyDescent="0.35">
      <c r="A36" s="26"/>
      <c r="B36" s="27"/>
      <c r="C36" s="18" t="s">
        <v>64</v>
      </c>
      <c r="D36" s="16"/>
      <c r="E36" s="17"/>
      <c r="F36" s="3" t="s">
        <v>65</v>
      </c>
      <c r="G36" s="3" t="s">
        <v>21</v>
      </c>
      <c r="H36" s="4">
        <v>1</v>
      </c>
      <c r="I36" s="4">
        <v>232.374064</v>
      </c>
      <c r="J36" s="5">
        <v>12</v>
      </c>
      <c r="K36" s="4">
        <v>0</v>
      </c>
      <c r="L36" s="6">
        <v>1</v>
      </c>
      <c r="M36" s="7">
        <v>0</v>
      </c>
      <c r="N36" s="21">
        <v>1</v>
      </c>
      <c r="O36" s="16"/>
      <c r="P36" s="17"/>
      <c r="Q36" s="7">
        <f t="shared" si="0"/>
        <v>0</v>
      </c>
    </row>
    <row r="37" spans="1:17" x14ac:dyDescent="0.35">
      <c r="A37" s="26"/>
      <c r="B37" s="27"/>
      <c r="C37" s="18" t="s">
        <v>66</v>
      </c>
      <c r="D37" s="16"/>
      <c r="E37" s="17"/>
      <c r="F37" s="3" t="s">
        <v>67</v>
      </c>
      <c r="G37" s="3" t="s">
        <v>21</v>
      </c>
      <c r="H37" s="4">
        <v>1</v>
      </c>
      <c r="I37" s="4">
        <v>198.00476699999999</v>
      </c>
      <c r="J37" s="5">
        <v>1</v>
      </c>
      <c r="K37" s="4">
        <v>0.35169499999999998</v>
      </c>
      <c r="L37" s="6">
        <v>0.993475</v>
      </c>
      <c r="M37" s="7">
        <v>0</v>
      </c>
      <c r="N37" s="21">
        <v>0.99519400000000002</v>
      </c>
      <c r="O37" s="16"/>
      <c r="P37" s="17"/>
      <c r="Q37" s="7">
        <f t="shared" si="0"/>
        <v>69.637286530064998</v>
      </c>
    </row>
    <row r="38" spans="1:17" x14ac:dyDescent="0.35">
      <c r="A38" s="26"/>
      <c r="B38" s="27"/>
      <c r="C38" s="18" t="s">
        <v>68</v>
      </c>
      <c r="D38" s="16"/>
      <c r="E38" s="17"/>
      <c r="F38" s="3" t="s">
        <v>69</v>
      </c>
      <c r="G38" s="3" t="s">
        <v>21</v>
      </c>
      <c r="H38" s="4">
        <v>1</v>
      </c>
      <c r="I38" s="4">
        <v>198.00476699999999</v>
      </c>
      <c r="J38" s="5">
        <v>3</v>
      </c>
      <c r="K38" s="4">
        <v>119.8052</v>
      </c>
      <c r="L38" s="6">
        <v>0.95815099999999997</v>
      </c>
      <c r="M38" s="7">
        <v>0</v>
      </c>
      <c r="N38" s="21">
        <v>1</v>
      </c>
      <c r="O38" s="16"/>
      <c r="P38" s="17"/>
      <c r="Q38" s="7">
        <f t="shared" si="0"/>
        <v>71166.002134165188</v>
      </c>
    </row>
    <row r="39" spans="1:17" x14ac:dyDescent="0.35">
      <c r="A39" s="26"/>
      <c r="B39" s="27"/>
      <c r="C39" s="18" t="s">
        <v>70</v>
      </c>
      <c r="D39" s="16"/>
      <c r="E39" s="17"/>
      <c r="F39" s="3" t="s">
        <v>71</v>
      </c>
      <c r="G39" s="3" t="s">
        <v>21</v>
      </c>
      <c r="H39" s="4">
        <v>1</v>
      </c>
      <c r="I39" s="4">
        <v>266.74336099999999</v>
      </c>
      <c r="J39" s="5">
        <v>7</v>
      </c>
      <c r="K39" s="4">
        <v>209.77146200000001</v>
      </c>
      <c r="L39" s="6">
        <v>0.91317700000000002</v>
      </c>
      <c r="M39" s="7">
        <v>0</v>
      </c>
      <c r="N39" s="21">
        <v>1</v>
      </c>
      <c r="O39" s="16"/>
      <c r="P39" s="17"/>
      <c r="Q39" s="7">
        <f t="shared" si="0"/>
        <v>391686.01371034654</v>
      </c>
    </row>
    <row r="40" spans="1:17" x14ac:dyDescent="0.35">
      <c r="A40" s="26"/>
      <c r="B40" s="27"/>
      <c r="C40" s="18" t="s">
        <v>72</v>
      </c>
      <c r="D40" s="16"/>
      <c r="E40" s="17"/>
      <c r="F40" s="3" t="s">
        <v>73</v>
      </c>
      <c r="G40" s="3" t="s">
        <v>21</v>
      </c>
      <c r="H40" s="4">
        <v>1</v>
      </c>
      <c r="I40" s="4">
        <v>266.74336099999999</v>
      </c>
      <c r="J40" s="5">
        <v>1</v>
      </c>
      <c r="K40" s="4">
        <v>9.4610000000000007E-3</v>
      </c>
      <c r="L40" s="6">
        <v>0.99025399999999997</v>
      </c>
      <c r="M40" s="7">
        <v>0</v>
      </c>
      <c r="N40" s="21">
        <v>0.99975499999999995</v>
      </c>
      <c r="O40" s="16"/>
      <c r="P40" s="17"/>
      <c r="Q40" s="7">
        <f t="shared" si="0"/>
        <v>2.5236589384210002</v>
      </c>
    </row>
    <row r="41" spans="1:17" x14ac:dyDescent="0.35">
      <c r="A41" s="26"/>
      <c r="B41" s="27"/>
      <c r="C41" s="18" t="s">
        <v>74</v>
      </c>
      <c r="D41" s="16"/>
      <c r="E41" s="17"/>
      <c r="F41" s="3" t="s">
        <v>75</v>
      </c>
      <c r="G41" s="3" t="s">
        <v>21</v>
      </c>
      <c r="H41" s="4">
        <v>1</v>
      </c>
      <c r="I41" s="4">
        <v>266.74336099999999</v>
      </c>
      <c r="J41" s="5">
        <v>1</v>
      </c>
      <c r="K41" s="4">
        <v>0</v>
      </c>
      <c r="L41" s="6">
        <v>0.99759399999999998</v>
      </c>
      <c r="M41" s="7">
        <v>0</v>
      </c>
      <c r="N41" s="21">
        <v>0.997973</v>
      </c>
      <c r="O41" s="16"/>
      <c r="P41" s="17"/>
      <c r="Q41" s="7">
        <f t="shared" si="0"/>
        <v>0</v>
      </c>
    </row>
    <row r="42" spans="1:17" x14ac:dyDescent="0.35">
      <c r="A42" s="26"/>
      <c r="B42" s="27"/>
      <c r="C42" s="18" t="s">
        <v>76</v>
      </c>
      <c r="D42" s="16"/>
      <c r="E42" s="17"/>
      <c r="F42" s="3" t="s">
        <v>77</v>
      </c>
      <c r="G42" s="3" t="s">
        <v>21</v>
      </c>
      <c r="H42" s="4">
        <v>1</v>
      </c>
      <c r="I42" s="4">
        <v>266.74336099999999</v>
      </c>
      <c r="J42" s="5">
        <v>1</v>
      </c>
      <c r="K42" s="4">
        <v>27.110921000000001</v>
      </c>
      <c r="L42" s="6">
        <v>0.97012399999999999</v>
      </c>
      <c r="M42" s="7">
        <v>0</v>
      </c>
      <c r="N42" s="21">
        <v>1</v>
      </c>
      <c r="O42" s="16"/>
      <c r="P42" s="17"/>
      <c r="Q42" s="7">
        <f t="shared" si="0"/>
        <v>7231.6581873454816</v>
      </c>
    </row>
    <row r="43" spans="1:17" x14ac:dyDescent="0.35">
      <c r="A43" s="26"/>
      <c r="B43" s="27"/>
      <c r="C43" s="18" t="s">
        <v>78</v>
      </c>
      <c r="D43" s="16"/>
      <c r="E43" s="17"/>
      <c r="F43" s="3" t="s">
        <v>79</v>
      </c>
      <c r="G43" s="3" t="s">
        <v>21</v>
      </c>
      <c r="H43" s="4">
        <v>1</v>
      </c>
      <c r="I43" s="4">
        <v>266.74336099999999</v>
      </c>
      <c r="J43" s="5">
        <v>1</v>
      </c>
      <c r="K43" s="4">
        <v>0</v>
      </c>
      <c r="L43" s="6">
        <v>0.98098600000000002</v>
      </c>
      <c r="M43" s="7">
        <v>0</v>
      </c>
      <c r="N43" s="21">
        <v>0.99973299999999998</v>
      </c>
      <c r="O43" s="16"/>
      <c r="P43" s="17"/>
      <c r="Q43" s="7">
        <f t="shared" si="0"/>
        <v>0</v>
      </c>
    </row>
    <row r="44" spans="1:17" x14ac:dyDescent="0.35">
      <c r="A44" s="26"/>
      <c r="B44" s="27"/>
      <c r="C44" s="18" t="s">
        <v>80</v>
      </c>
      <c r="D44" s="16"/>
      <c r="E44" s="17"/>
      <c r="F44" s="3" t="s">
        <v>81</v>
      </c>
      <c r="G44" s="3" t="s">
        <v>21</v>
      </c>
      <c r="H44" s="4">
        <v>1</v>
      </c>
      <c r="I44" s="4">
        <v>266.74336099999999</v>
      </c>
      <c r="J44" s="5">
        <v>1</v>
      </c>
      <c r="K44" s="4">
        <v>186.59710699999999</v>
      </c>
      <c r="L44" s="8">
        <v>0.89779399999999998</v>
      </c>
      <c r="M44" s="7">
        <v>0</v>
      </c>
      <c r="N44" s="21">
        <v>0.99999099999999996</v>
      </c>
      <c r="O44" s="16"/>
      <c r="P44" s="17"/>
      <c r="Q44" s="7">
        <f t="shared" si="0"/>
        <v>49773.539474056626</v>
      </c>
    </row>
    <row r="45" spans="1:17" x14ac:dyDescent="0.35">
      <c r="A45" s="26"/>
      <c r="B45" s="27"/>
      <c r="C45" s="18" t="s">
        <v>82</v>
      </c>
      <c r="D45" s="16"/>
      <c r="E45" s="17"/>
      <c r="F45" s="3" t="s">
        <v>83</v>
      </c>
      <c r="G45" s="3" t="s">
        <v>21</v>
      </c>
      <c r="H45" s="4">
        <v>1</v>
      </c>
      <c r="I45" s="4">
        <v>266.74336099999999</v>
      </c>
      <c r="J45" s="5">
        <v>1</v>
      </c>
      <c r="K45" s="4">
        <v>0</v>
      </c>
      <c r="L45" s="6">
        <v>0.99982199999999999</v>
      </c>
      <c r="M45" s="7">
        <v>0</v>
      </c>
      <c r="N45" s="21">
        <v>0.98227399999999998</v>
      </c>
      <c r="O45" s="16"/>
      <c r="P45" s="17"/>
      <c r="Q45" s="7">
        <f t="shared" si="0"/>
        <v>0</v>
      </c>
    </row>
    <row r="46" spans="1:17" x14ac:dyDescent="0.35">
      <c r="A46" s="26"/>
      <c r="B46" s="27"/>
      <c r="C46" s="18" t="s">
        <v>84</v>
      </c>
      <c r="D46" s="16"/>
      <c r="E46" s="17"/>
      <c r="F46" s="3" t="s">
        <v>85</v>
      </c>
      <c r="G46" s="3" t="s">
        <v>21</v>
      </c>
      <c r="H46" s="4">
        <v>1</v>
      </c>
      <c r="I46" s="4">
        <v>266.74336099999999</v>
      </c>
      <c r="J46" s="5">
        <v>1</v>
      </c>
      <c r="K46" s="4">
        <v>0</v>
      </c>
      <c r="L46" s="6">
        <v>0.99841400000000002</v>
      </c>
      <c r="M46" s="7">
        <v>0</v>
      </c>
      <c r="N46" s="21">
        <v>0.99998799999999999</v>
      </c>
      <c r="O46" s="16"/>
      <c r="P46" s="17"/>
      <c r="Q46" s="7">
        <f t="shared" si="0"/>
        <v>0</v>
      </c>
    </row>
    <row r="47" spans="1:17" x14ac:dyDescent="0.35">
      <c r="A47" s="26"/>
      <c r="B47" s="27"/>
      <c r="C47" s="18" t="s">
        <v>86</v>
      </c>
      <c r="D47" s="16"/>
      <c r="E47" s="17"/>
      <c r="F47" s="3" t="s">
        <v>87</v>
      </c>
      <c r="G47" s="3" t="s">
        <v>21</v>
      </c>
      <c r="H47" s="4">
        <v>1</v>
      </c>
      <c r="I47" s="4">
        <v>266.74336099999999</v>
      </c>
      <c r="J47" s="5">
        <v>1</v>
      </c>
      <c r="K47" s="4">
        <v>0.35832799999999998</v>
      </c>
      <c r="L47" s="6">
        <v>0.99758199999999997</v>
      </c>
      <c r="M47" s="7">
        <v>0</v>
      </c>
      <c r="N47" s="21">
        <v>0.99999899999999997</v>
      </c>
      <c r="O47" s="16"/>
      <c r="P47" s="17"/>
      <c r="Q47" s="7">
        <f t="shared" si="0"/>
        <v>95.581615060407998</v>
      </c>
    </row>
    <row r="48" spans="1:17" x14ac:dyDescent="0.35">
      <c r="A48" s="26"/>
      <c r="B48" s="27"/>
      <c r="C48" s="18" t="s">
        <v>88</v>
      </c>
      <c r="D48" s="16"/>
      <c r="E48" s="17"/>
      <c r="F48" s="3" t="s">
        <v>89</v>
      </c>
      <c r="G48" s="3" t="s">
        <v>21</v>
      </c>
      <c r="H48" s="4">
        <v>1</v>
      </c>
      <c r="I48" s="4">
        <v>266.74336099999999</v>
      </c>
      <c r="J48" s="5">
        <v>1</v>
      </c>
      <c r="K48" s="4">
        <v>218.02730700000001</v>
      </c>
      <c r="L48" s="6">
        <v>0.98045099999999996</v>
      </c>
      <c r="M48" s="7">
        <v>0</v>
      </c>
      <c r="N48" s="21">
        <v>0.99999899999999997</v>
      </c>
      <c r="O48" s="16"/>
      <c r="P48" s="17"/>
      <c r="Q48" s="7">
        <f t="shared" si="0"/>
        <v>58157.336658958826</v>
      </c>
    </row>
    <row r="49" spans="1:17" x14ac:dyDescent="0.35">
      <c r="A49" s="26"/>
      <c r="B49" s="27"/>
      <c r="C49" s="18" t="s">
        <v>90</v>
      </c>
      <c r="D49" s="16"/>
      <c r="E49" s="17"/>
      <c r="F49" s="3" t="s">
        <v>91</v>
      </c>
      <c r="G49" s="3" t="s">
        <v>21</v>
      </c>
      <c r="H49" s="4">
        <v>1</v>
      </c>
      <c r="I49" s="4">
        <v>266.74336099999999</v>
      </c>
      <c r="J49" s="5">
        <v>1</v>
      </c>
      <c r="K49" s="4">
        <v>0</v>
      </c>
      <c r="L49" s="6">
        <v>0.99978500000000003</v>
      </c>
      <c r="M49" s="7">
        <v>0</v>
      </c>
      <c r="N49" s="21">
        <v>0.99985599999999997</v>
      </c>
      <c r="O49" s="16"/>
      <c r="P49" s="17"/>
      <c r="Q49" s="7">
        <f t="shared" si="0"/>
        <v>0</v>
      </c>
    </row>
    <row r="50" spans="1:17" x14ac:dyDescent="0.35">
      <c r="A50" s="26"/>
      <c r="B50" s="27"/>
      <c r="C50" s="18" t="s">
        <v>92</v>
      </c>
      <c r="D50" s="16"/>
      <c r="E50" s="17"/>
      <c r="F50" s="3" t="s">
        <v>93</v>
      </c>
      <c r="G50" s="3" t="s">
        <v>21</v>
      </c>
      <c r="H50" s="4">
        <v>1</v>
      </c>
      <c r="I50" s="4">
        <v>266.74336099999999</v>
      </c>
      <c r="J50" s="5">
        <v>1</v>
      </c>
      <c r="K50" s="4">
        <v>0</v>
      </c>
      <c r="L50" s="6">
        <v>0.99966600000000005</v>
      </c>
      <c r="M50" s="7">
        <v>0</v>
      </c>
      <c r="N50" s="24">
        <v>0.856267</v>
      </c>
      <c r="O50" s="16"/>
      <c r="P50" s="17"/>
      <c r="Q50" s="7">
        <f t="shared" si="0"/>
        <v>0</v>
      </c>
    </row>
    <row r="51" spans="1:17" x14ac:dyDescent="0.35">
      <c r="A51" s="26"/>
      <c r="B51" s="27"/>
      <c r="C51" s="18" t="s">
        <v>94</v>
      </c>
      <c r="D51" s="16"/>
      <c r="E51" s="17"/>
      <c r="F51" s="3" t="s">
        <v>95</v>
      </c>
      <c r="G51" s="3" t="s">
        <v>21</v>
      </c>
      <c r="H51" s="4">
        <v>1</v>
      </c>
      <c r="I51" s="4">
        <v>266.74336099999999</v>
      </c>
      <c r="J51" s="5">
        <v>1</v>
      </c>
      <c r="K51" s="4">
        <v>0</v>
      </c>
      <c r="L51" s="6">
        <v>0.99999899999999997</v>
      </c>
      <c r="M51" s="7">
        <v>0</v>
      </c>
      <c r="N51" s="21">
        <v>0.98130499999999998</v>
      </c>
      <c r="O51" s="16"/>
      <c r="P51" s="17"/>
      <c r="Q51" s="7">
        <f t="shared" si="0"/>
        <v>0</v>
      </c>
    </row>
    <row r="52" spans="1:17" x14ac:dyDescent="0.35">
      <c r="A52" s="26"/>
      <c r="B52" s="27"/>
      <c r="C52" s="18" t="s">
        <v>96</v>
      </c>
      <c r="D52" s="16"/>
      <c r="E52" s="17"/>
      <c r="F52" s="3" t="s">
        <v>97</v>
      </c>
      <c r="G52" s="3" t="s">
        <v>21</v>
      </c>
      <c r="H52" s="4">
        <v>1</v>
      </c>
      <c r="I52" s="4">
        <v>266.74336099999999</v>
      </c>
      <c r="J52" s="5">
        <v>1</v>
      </c>
      <c r="K52" s="4">
        <v>130.307851</v>
      </c>
      <c r="L52" s="6">
        <v>0.90892200000000001</v>
      </c>
      <c r="M52" s="7">
        <v>0</v>
      </c>
      <c r="N52" s="21">
        <v>1</v>
      </c>
      <c r="O52" s="16"/>
      <c r="P52" s="17"/>
      <c r="Q52" s="7">
        <f t="shared" si="0"/>
        <v>34758.754140427212</v>
      </c>
    </row>
    <row r="53" spans="1:17" x14ac:dyDescent="0.35">
      <c r="A53" s="26"/>
      <c r="B53" s="27"/>
      <c r="C53" s="18" t="s">
        <v>98</v>
      </c>
      <c r="D53" s="16"/>
      <c r="E53" s="17"/>
      <c r="F53" s="3" t="s">
        <v>99</v>
      </c>
      <c r="G53" s="3" t="s">
        <v>21</v>
      </c>
      <c r="H53" s="4">
        <v>1</v>
      </c>
      <c r="I53" s="4">
        <v>198.00476699999999</v>
      </c>
      <c r="J53" s="5">
        <v>1</v>
      </c>
      <c r="K53" s="4">
        <v>665.45412399999998</v>
      </c>
      <c r="L53" s="8">
        <v>0.88745099999999999</v>
      </c>
      <c r="M53" s="7">
        <v>0</v>
      </c>
      <c r="N53" s="21">
        <v>1</v>
      </c>
      <c r="O53" s="16"/>
      <c r="P53" s="17"/>
      <c r="Q53" s="7">
        <f t="shared" si="0"/>
        <v>131763.0887718091</v>
      </c>
    </row>
    <row r="54" spans="1:17" x14ac:dyDescent="0.35">
      <c r="A54" s="26"/>
      <c r="B54" s="27"/>
      <c r="C54" s="18" t="s">
        <v>100</v>
      </c>
      <c r="D54" s="16"/>
      <c r="E54" s="17"/>
      <c r="F54" s="3" t="s">
        <v>101</v>
      </c>
      <c r="G54" s="3" t="s">
        <v>21</v>
      </c>
      <c r="H54" s="4">
        <v>1</v>
      </c>
      <c r="I54" s="4">
        <v>198.00476699999999</v>
      </c>
      <c r="J54" s="5">
        <v>1</v>
      </c>
      <c r="K54" s="4">
        <v>121.726072</v>
      </c>
      <c r="L54" s="8">
        <v>0.89684799999999998</v>
      </c>
      <c r="M54" s="7">
        <v>0</v>
      </c>
      <c r="N54" s="21">
        <v>0.99999199999999999</v>
      </c>
      <c r="O54" s="16"/>
      <c r="P54" s="17"/>
      <c r="Q54" s="7">
        <f t="shared" si="0"/>
        <v>24102.342524185224</v>
      </c>
    </row>
    <row r="55" spans="1:17" x14ac:dyDescent="0.35">
      <c r="A55" s="26"/>
      <c r="B55" s="27"/>
      <c r="C55" s="18" t="s">
        <v>102</v>
      </c>
      <c r="D55" s="16"/>
      <c r="E55" s="17"/>
      <c r="F55" s="3" t="s">
        <v>103</v>
      </c>
      <c r="G55" s="3" t="s">
        <v>21</v>
      </c>
      <c r="H55" s="4">
        <v>1</v>
      </c>
      <c r="I55" s="4">
        <v>198.00476699999999</v>
      </c>
      <c r="J55" s="5">
        <v>1</v>
      </c>
      <c r="K55" s="4">
        <v>253.565305</v>
      </c>
      <c r="L55" s="8">
        <v>0.86410299999999995</v>
      </c>
      <c r="M55" s="7">
        <v>0</v>
      </c>
      <c r="N55" s="21">
        <v>0.99995400000000001</v>
      </c>
      <c r="O55" s="16"/>
      <c r="P55" s="17"/>
      <c r="Q55" s="7">
        <f t="shared" si="0"/>
        <v>50207.139135808931</v>
      </c>
    </row>
    <row r="56" spans="1:17" x14ac:dyDescent="0.35">
      <c r="A56" s="26"/>
      <c r="B56" s="27"/>
      <c r="C56" s="18" t="s">
        <v>104</v>
      </c>
      <c r="D56" s="16"/>
      <c r="E56" s="17"/>
      <c r="F56" s="3" t="s">
        <v>105</v>
      </c>
      <c r="G56" s="3" t="s">
        <v>21</v>
      </c>
      <c r="H56" s="4">
        <v>1</v>
      </c>
      <c r="I56" s="4">
        <v>266.74336099999999</v>
      </c>
      <c r="J56" s="5">
        <v>1</v>
      </c>
      <c r="K56" s="4">
        <v>0</v>
      </c>
      <c r="L56" s="6">
        <v>0.98699300000000001</v>
      </c>
      <c r="M56" s="7">
        <v>0</v>
      </c>
      <c r="N56" s="21">
        <v>1</v>
      </c>
      <c r="O56" s="16"/>
      <c r="P56" s="17"/>
      <c r="Q56" s="7">
        <f t="shared" si="0"/>
        <v>0</v>
      </c>
    </row>
    <row r="57" spans="1:17" x14ac:dyDescent="0.35">
      <c r="A57" s="26"/>
      <c r="B57" s="27"/>
      <c r="C57" s="18" t="s">
        <v>106</v>
      </c>
      <c r="D57" s="16"/>
      <c r="E57" s="17"/>
      <c r="F57" s="3" t="s">
        <v>107</v>
      </c>
      <c r="G57" s="3" t="s">
        <v>21</v>
      </c>
      <c r="H57" s="4">
        <v>1</v>
      </c>
      <c r="I57" s="4">
        <v>266.74336099999999</v>
      </c>
      <c r="J57" s="5">
        <v>1</v>
      </c>
      <c r="K57" s="4">
        <v>424.97731900000002</v>
      </c>
      <c r="L57" s="8">
        <v>0.86809800000000004</v>
      </c>
      <c r="M57" s="7">
        <v>0</v>
      </c>
      <c r="N57" s="21">
        <v>0.99998600000000004</v>
      </c>
      <c r="O57" s="16"/>
      <c r="P57" s="17"/>
      <c r="Q57" s="7">
        <f t="shared" si="0"/>
        <v>113359.87841882916</v>
      </c>
    </row>
    <row r="58" spans="1:17" x14ac:dyDescent="0.35">
      <c r="A58" s="26"/>
      <c r="B58" s="27"/>
      <c r="C58" s="18" t="s">
        <v>108</v>
      </c>
      <c r="D58" s="16"/>
      <c r="E58" s="17"/>
      <c r="F58" s="3" t="s">
        <v>109</v>
      </c>
      <c r="G58" s="3" t="s">
        <v>21</v>
      </c>
      <c r="H58" s="4">
        <v>1</v>
      </c>
      <c r="I58" s="4">
        <v>266.74336099999999</v>
      </c>
      <c r="J58" s="5">
        <v>1</v>
      </c>
      <c r="K58" s="4">
        <v>255.50904199999999</v>
      </c>
      <c r="L58" s="8">
        <v>0.89504499999999998</v>
      </c>
      <c r="M58" s="7">
        <v>0</v>
      </c>
      <c r="N58" s="21">
        <v>0.99970099999999995</v>
      </c>
      <c r="O58" s="16"/>
      <c r="P58" s="17"/>
      <c r="Q58" s="7">
        <f t="shared" si="0"/>
        <v>68155.340628970152</v>
      </c>
    </row>
    <row r="59" spans="1:17" x14ac:dyDescent="0.35">
      <c r="A59" s="26"/>
      <c r="B59" s="27"/>
      <c r="C59" s="18" t="s">
        <v>110</v>
      </c>
      <c r="D59" s="16"/>
      <c r="E59" s="17"/>
      <c r="F59" s="3" t="s">
        <v>111</v>
      </c>
      <c r="G59" s="3" t="s">
        <v>21</v>
      </c>
      <c r="H59" s="4">
        <v>1</v>
      </c>
      <c r="I59" s="4">
        <v>198.00476699999999</v>
      </c>
      <c r="J59" s="5">
        <v>1</v>
      </c>
      <c r="K59" s="4">
        <v>435.56977899999998</v>
      </c>
      <c r="L59" s="8">
        <v>0.89710500000000004</v>
      </c>
      <c r="M59" s="7">
        <v>0</v>
      </c>
      <c r="N59" s="21">
        <v>0.99997400000000003</v>
      </c>
      <c r="O59" s="16"/>
      <c r="P59" s="17"/>
      <c r="Q59" s="7">
        <f t="shared" si="0"/>
        <v>86244.892603136483</v>
      </c>
    </row>
    <row r="60" spans="1:17" ht="14.5" customHeight="1" x14ac:dyDescent="0.35">
      <c r="A60" s="26"/>
      <c r="B60" s="27"/>
      <c r="C60" s="18" t="s">
        <v>112</v>
      </c>
      <c r="D60" s="16"/>
      <c r="E60" s="17"/>
      <c r="F60" s="3" t="s">
        <v>113</v>
      </c>
      <c r="G60" s="3" t="s">
        <v>21</v>
      </c>
      <c r="H60" s="4">
        <v>1</v>
      </c>
      <c r="I60" s="4">
        <v>198.00476699999999</v>
      </c>
      <c r="J60" s="5">
        <v>1</v>
      </c>
      <c r="K60" s="4">
        <f>25.68+3.78596</f>
        <v>29.465959999999999</v>
      </c>
      <c r="L60" s="6">
        <v>0.98443499999999995</v>
      </c>
      <c r="M60" s="7">
        <v>0</v>
      </c>
      <c r="N60" s="21">
        <v>0.999861</v>
      </c>
      <c r="O60" s="16"/>
      <c r="P60" s="17"/>
      <c r="Q60" s="7">
        <f t="shared" si="0"/>
        <v>5834.4005442313191</v>
      </c>
    </row>
    <row r="61" spans="1:17" x14ac:dyDescent="0.35">
      <c r="A61" s="26"/>
      <c r="B61" s="27"/>
      <c r="C61" s="18" t="s">
        <v>114</v>
      </c>
      <c r="D61" s="16"/>
      <c r="E61" s="17"/>
      <c r="F61" s="3" t="s">
        <v>115</v>
      </c>
      <c r="G61" s="3" t="s">
        <v>21</v>
      </c>
      <c r="H61" s="4">
        <v>1</v>
      </c>
      <c r="I61" s="4">
        <v>198.00476699999999</v>
      </c>
      <c r="J61" s="5">
        <v>1</v>
      </c>
      <c r="K61" s="4">
        <v>34.067473999999997</v>
      </c>
      <c r="L61" s="6">
        <v>0.96269499999999997</v>
      </c>
      <c r="M61" s="7">
        <v>0</v>
      </c>
      <c r="N61" s="21">
        <v>0.99999099999999996</v>
      </c>
      <c r="O61" s="16"/>
      <c r="P61" s="17"/>
      <c r="Q61" s="7">
        <f t="shared" si="0"/>
        <v>6745.5222516485574</v>
      </c>
    </row>
    <row r="62" spans="1:17" x14ac:dyDescent="0.35">
      <c r="A62" s="26"/>
      <c r="B62" s="27"/>
      <c r="C62" s="18" t="s">
        <v>116</v>
      </c>
      <c r="D62" s="16"/>
      <c r="E62" s="17"/>
      <c r="F62" s="3" t="s">
        <v>117</v>
      </c>
      <c r="G62" s="3" t="s">
        <v>21</v>
      </c>
      <c r="H62" s="4">
        <v>1</v>
      </c>
      <c r="I62" s="4">
        <v>266.74336099999999</v>
      </c>
      <c r="J62" s="5">
        <v>1</v>
      </c>
      <c r="K62" s="4">
        <v>0</v>
      </c>
      <c r="L62" s="6">
        <v>0.97470999999999997</v>
      </c>
      <c r="M62" s="7">
        <v>0</v>
      </c>
      <c r="N62" s="21">
        <v>0.99998900000000002</v>
      </c>
      <c r="O62" s="16"/>
      <c r="P62" s="17"/>
      <c r="Q62" s="7">
        <f t="shared" si="0"/>
        <v>0</v>
      </c>
    </row>
    <row r="63" spans="1:17" x14ac:dyDescent="0.35">
      <c r="A63" s="26"/>
      <c r="B63" s="27"/>
      <c r="C63" s="18" t="s">
        <v>118</v>
      </c>
      <c r="D63" s="16"/>
      <c r="E63" s="17"/>
      <c r="F63" s="3" t="s">
        <v>119</v>
      </c>
      <c r="G63" s="3" t="s">
        <v>21</v>
      </c>
      <c r="H63" s="4">
        <v>1</v>
      </c>
      <c r="I63" s="4">
        <v>266.74336099999999</v>
      </c>
      <c r="J63" s="5">
        <v>1</v>
      </c>
      <c r="K63" s="4">
        <v>0</v>
      </c>
      <c r="L63" s="6">
        <v>0.99963900000000006</v>
      </c>
      <c r="M63" s="7">
        <v>0</v>
      </c>
      <c r="N63" s="21">
        <v>0.99814899999999995</v>
      </c>
      <c r="O63" s="16"/>
      <c r="P63" s="17"/>
      <c r="Q63" s="7">
        <f t="shared" si="0"/>
        <v>0</v>
      </c>
    </row>
    <row r="64" spans="1:17" x14ac:dyDescent="0.35">
      <c r="A64" s="26"/>
      <c r="B64" s="27"/>
      <c r="C64" s="18" t="s">
        <v>120</v>
      </c>
      <c r="D64" s="16"/>
      <c r="E64" s="17"/>
      <c r="F64" s="3" t="s">
        <v>121</v>
      </c>
      <c r="G64" s="3" t="s">
        <v>21</v>
      </c>
      <c r="H64" s="4">
        <v>1</v>
      </c>
      <c r="I64" s="4">
        <v>232.374064</v>
      </c>
      <c r="J64" s="5">
        <v>1</v>
      </c>
      <c r="K64" s="4">
        <v>17.730093</v>
      </c>
      <c r="L64" s="6">
        <v>0.96653299999999998</v>
      </c>
      <c r="M64" s="7">
        <v>0</v>
      </c>
      <c r="N64" s="21">
        <v>0.99255499999999997</v>
      </c>
      <c r="O64" s="16"/>
      <c r="P64" s="17"/>
      <c r="Q64" s="7">
        <f t="shared" si="0"/>
        <v>4120.0137655079525</v>
      </c>
    </row>
    <row r="65" spans="1:17" x14ac:dyDescent="0.35">
      <c r="A65" s="26"/>
      <c r="B65" s="27"/>
      <c r="C65" s="18" t="s">
        <v>122</v>
      </c>
      <c r="D65" s="16"/>
      <c r="E65" s="17"/>
      <c r="F65" s="3" t="s">
        <v>123</v>
      </c>
      <c r="G65" s="3" t="s">
        <v>21</v>
      </c>
      <c r="H65" s="4">
        <v>1</v>
      </c>
      <c r="I65" s="4">
        <v>198.00476699999999</v>
      </c>
      <c r="J65" s="5">
        <v>1</v>
      </c>
      <c r="K65" s="4">
        <v>7.49641</v>
      </c>
      <c r="L65" s="6">
        <v>0.96831599999999995</v>
      </c>
      <c r="M65" s="7">
        <v>0</v>
      </c>
      <c r="N65" s="21">
        <v>0.99915600000000004</v>
      </c>
      <c r="O65" s="16"/>
      <c r="P65" s="17"/>
      <c r="Q65" s="7">
        <f t="shared" si="0"/>
        <v>1484.3249153864699</v>
      </c>
    </row>
    <row r="66" spans="1:17" x14ac:dyDescent="0.35">
      <c r="A66" s="26"/>
      <c r="B66" s="27"/>
      <c r="C66" s="18" t="s">
        <v>124</v>
      </c>
      <c r="D66" s="16"/>
      <c r="E66" s="17"/>
      <c r="F66" s="3" t="s">
        <v>125</v>
      </c>
      <c r="G66" s="3" t="s">
        <v>21</v>
      </c>
      <c r="H66" s="4">
        <v>1</v>
      </c>
      <c r="I66" s="4">
        <v>198.00476699999999</v>
      </c>
      <c r="J66" s="5">
        <v>1</v>
      </c>
      <c r="K66" s="4">
        <v>259.55674699999997</v>
      </c>
      <c r="L66" s="8">
        <v>0.87547299999999995</v>
      </c>
      <c r="M66" s="7">
        <v>0</v>
      </c>
      <c r="N66" s="21">
        <v>0.99999899999999997</v>
      </c>
      <c r="O66" s="16"/>
      <c r="P66" s="17"/>
      <c r="Q66" s="7">
        <f t="shared" si="0"/>
        <v>51393.473213012941</v>
      </c>
    </row>
    <row r="67" spans="1:17" x14ac:dyDescent="0.35">
      <c r="A67" s="26"/>
      <c r="B67" s="27"/>
      <c r="C67" s="18" t="s">
        <v>126</v>
      </c>
      <c r="D67" s="16"/>
      <c r="E67" s="17"/>
      <c r="F67" s="3" t="s">
        <v>127</v>
      </c>
      <c r="G67" s="3" t="s">
        <v>21</v>
      </c>
      <c r="H67" s="4">
        <v>1</v>
      </c>
      <c r="I67" s="4">
        <v>266.74336099999999</v>
      </c>
      <c r="J67" s="5">
        <v>1</v>
      </c>
      <c r="K67" s="4">
        <v>56.613545999999999</v>
      </c>
      <c r="L67" s="6">
        <v>0.95703099999999997</v>
      </c>
      <c r="M67" s="7">
        <v>0</v>
      </c>
      <c r="N67" s="21">
        <v>1</v>
      </c>
      <c r="O67" s="16"/>
      <c r="P67" s="17"/>
      <c r="Q67" s="7">
        <f t="shared" si="0"/>
        <v>15101.287538168106</v>
      </c>
    </row>
    <row r="68" spans="1:17" x14ac:dyDescent="0.35">
      <c r="A68" s="26"/>
      <c r="B68" s="27"/>
      <c r="C68" s="18" t="s">
        <v>128</v>
      </c>
      <c r="D68" s="16"/>
      <c r="E68" s="17"/>
      <c r="F68" s="3" t="s">
        <v>129</v>
      </c>
      <c r="G68" s="3" t="s">
        <v>21</v>
      </c>
      <c r="H68" s="4">
        <v>1</v>
      </c>
      <c r="I68" s="4">
        <v>266.74336099999999</v>
      </c>
      <c r="J68" s="5">
        <v>1</v>
      </c>
      <c r="K68" s="4">
        <v>3.4236249999999999</v>
      </c>
      <c r="L68" s="6">
        <v>0.96950199999999997</v>
      </c>
      <c r="M68" s="7">
        <v>0</v>
      </c>
      <c r="N68" s="21">
        <v>1</v>
      </c>
      <c r="O68" s="16"/>
      <c r="P68" s="17"/>
      <c r="Q68" s="7">
        <f t="shared" si="0"/>
        <v>913.22923930362492</v>
      </c>
    </row>
    <row r="69" spans="1:17" x14ac:dyDescent="0.35">
      <c r="A69" s="26"/>
      <c r="B69" s="27"/>
      <c r="C69" s="18" t="s">
        <v>130</v>
      </c>
      <c r="D69" s="16"/>
      <c r="E69" s="17"/>
      <c r="F69" s="3" t="s">
        <v>131</v>
      </c>
      <c r="G69" s="3" t="s">
        <v>21</v>
      </c>
      <c r="H69" s="4">
        <v>1</v>
      </c>
      <c r="I69" s="4">
        <v>198.00476699999999</v>
      </c>
      <c r="J69" s="5">
        <v>1</v>
      </c>
      <c r="K69" s="4">
        <v>2167.8484560000002</v>
      </c>
      <c r="L69" s="8">
        <v>0.768208</v>
      </c>
      <c r="M69" s="7">
        <v>0</v>
      </c>
      <c r="N69" s="21">
        <v>1</v>
      </c>
      <c r="O69" s="16"/>
      <c r="P69" s="17"/>
      <c r="Q69" s="7">
        <f t="shared" si="0"/>
        <v>429244.32842158974</v>
      </c>
    </row>
    <row r="70" spans="1:17" x14ac:dyDescent="0.35">
      <c r="A70" s="26"/>
      <c r="B70" s="27"/>
      <c r="C70" s="18" t="s">
        <v>132</v>
      </c>
      <c r="D70" s="16"/>
      <c r="E70" s="17"/>
      <c r="F70" s="3" t="s">
        <v>133</v>
      </c>
      <c r="G70" s="3" t="s">
        <v>21</v>
      </c>
      <c r="H70" s="4">
        <v>1</v>
      </c>
      <c r="I70" s="4">
        <v>198.00476699999999</v>
      </c>
      <c r="J70" s="5">
        <v>1</v>
      </c>
      <c r="K70" s="4">
        <v>0</v>
      </c>
      <c r="L70" s="6">
        <v>0.974163</v>
      </c>
      <c r="M70" s="7">
        <v>0</v>
      </c>
      <c r="N70" s="21">
        <v>0.99025399999999997</v>
      </c>
      <c r="O70" s="16"/>
      <c r="P70" s="17"/>
      <c r="Q70" s="7">
        <f t="shared" si="0"/>
        <v>0</v>
      </c>
    </row>
    <row r="71" spans="1:17" x14ac:dyDescent="0.35">
      <c r="A71" s="26"/>
      <c r="B71" s="27"/>
      <c r="C71" s="18" t="s">
        <v>134</v>
      </c>
      <c r="D71" s="16"/>
      <c r="E71" s="17"/>
      <c r="F71" s="3" t="s">
        <v>135</v>
      </c>
      <c r="G71" s="3" t="s">
        <v>21</v>
      </c>
      <c r="H71" s="4">
        <v>1</v>
      </c>
      <c r="I71" s="4">
        <v>266.74336099999999</v>
      </c>
      <c r="J71" s="5">
        <v>5</v>
      </c>
      <c r="K71" s="4">
        <v>54.814118000000001</v>
      </c>
      <c r="L71" s="8">
        <v>0.89382700000000004</v>
      </c>
      <c r="M71" s="7">
        <v>0</v>
      </c>
      <c r="N71" s="21">
        <v>1</v>
      </c>
      <c r="O71" s="16"/>
      <c r="P71" s="17"/>
      <c r="Q71" s="7">
        <f t="shared" si="0"/>
        <v>73106.510327852986</v>
      </c>
    </row>
    <row r="72" spans="1:17" x14ac:dyDescent="0.35">
      <c r="A72" s="26"/>
      <c r="B72" s="27"/>
      <c r="C72" s="18" t="s">
        <v>136</v>
      </c>
      <c r="D72" s="16"/>
      <c r="E72" s="17"/>
      <c r="F72" s="3" t="s">
        <v>137</v>
      </c>
      <c r="G72" s="3" t="s">
        <v>21</v>
      </c>
      <c r="H72" s="4">
        <v>1</v>
      </c>
      <c r="I72" s="4">
        <v>198.00476699999999</v>
      </c>
      <c r="J72" s="5">
        <v>1</v>
      </c>
      <c r="K72" s="4">
        <v>6.7810360000000003</v>
      </c>
      <c r="L72" s="6">
        <v>0.94165299999999996</v>
      </c>
      <c r="M72" s="7">
        <v>0</v>
      </c>
      <c r="N72" s="21">
        <v>1</v>
      </c>
      <c r="O72" s="16"/>
      <c r="P72" s="17"/>
      <c r="Q72" s="7">
        <f t="shared" si="0"/>
        <v>1342.6774531986121</v>
      </c>
    </row>
    <row r="73" spans="1:17" x14ac:dyDescent="0.35">
      <c r="A73" s="26"/>
      <c r="B73" s="27"/>
      <c r="C73" s="18" t="s">
        <v>138</v>
      </c>
      <c r="D73" s="16"/>
      <c r="E73" s="17"/>
      <c r="F73" s="3" t="s">
        <v>139</v>
      </c>
      <c r="G73" s="3" t="s">
        <v>21</v>
      </c>
      <c r="H73" s="4">
        <v>1</v>
      </c>
      <c r="I73" s="4">
        <v>198.00476699999999</v>
      </c>
      <c r="J73" s="5">
        <v>1</v>
      </c>
      <c r="K73" s="4">
        <v>0</v>
      </c>
      <c r="L73" s="6">
        <v>0.99115500000000001</v>
      </c>
      <c r="M73" s="7">
        <v>0</v>
      </c>
      <c r="N73" s="21">
        <v>1</v>
      </c>
      <c r="O73" s="16"/>
      <c r="P73" s="17"/>
      <c r="Q73" s="7">
        <f t="shared" si="0"/>
        <v>0</v>
      </c>
    </row>
    <row r="74" spans="1:17" x14ac:dyDescent="0.35">
      <c r="A74" s="26"/>
      <c r="B74" s="27"/>
      <c r="C74" s="18" t="s">
        <v>140</v>
      </c>
      <c r="D74" s="16"/>
      <c r="E74" s="17"/>
      <c r="F74" s="3" t="s">
        <v>141</v>
      </c>
      <c r="G74" s="3" t="s">
        <v>21</v>
      </c>
      <c r="H74" s="4">
        <v>1</v>
      </c>
      <c r="I74" s="4">
        <v>198.00476699999999</v>
      </c>
      <c r="J74" s="5">
        <v>6</v>
      </c>
      <c r="K74" s="4">
        <v>0</v>
      </c>
      <c r="L74" s="6">
        <v>0.99997499999999995</v>
      </c>
      <c r="M74" s="7">
        <v>0</v>
      </c>
      <c r="N74" s="21">
        <v>0.99286600000000003</v>
      </c>
      <c r="O74" s="16"/>
      <c r="P74" s="17"/>
      <c r="Q74" s="7">
        <f t="shared" si="0"/>
        <v>0</v>
      </c>
    </row>
    <row r="75" spans="1:17" x14ac:dyDescent="0.35">
      <c r="A75" s="26"/>
      <c r="B75" s="27"/>
      <c r="C75" s="18" t="s">
        <v>142</v>
      </c>
      <c r="D75" s="16"/>
      <c r="E75" s="17"/>
      <c r="F75" s="3" t="s">
        <v>143</v>
      </c>
      <c r="G75" s="3" t="s">
        <v>21</v>
      </c>
      <c r="H75" s="4">
        <v>1</v>
      </c>
      <c r="I75" s="4">
        <v>198.00476699999999</v>
      </c>
      <c r="J75" s="5">
        <v>12</v>
      </c>
      <c r="K75" s="4">
        <v>43.723771999999997</v>
      </c>
      <c r="L75" s="6">
        <v>0.93166700000000002</v>
      </c>
      <c r="M75" s="7">
        <v>0</v>
      </c>
      <c r="N75" s="21">
        <v>1</v>
      </c>
      <c r="O75" s="16"/>
      <c r="P75" s="17"/>
      <c r="Q75" s="7">
        <f t="shared" si="0"/>
        <v>103890.18344665348</v>
      </c>
    </row>
    <row r="76" spans="1:17" x14ac:dyDescent="0.35">
      <c r="A76" s="26"/>
      <c r="B76" s="27"/>
      <c r="C76" s="18" t="s">
        <v>144</v>
      </c>
      <c r="D76" s="16"/>
      <c r="E76" s="17"/>
      <c r="F76" s="3" t="s">
        <v>145</v>
      </c>
      <c r="G76" s="3" t="s">
        <v>21</v>
      </c>
      <c r="H76" s="4">
        <v>1</v>
      </c>
      <c r="I76" s="4">
        <v>266.74336099999999</v>
      </c>
      <c r="J76" s="5">
        <v>10</v>
      </c>
      <c r="K76" s="4">
        <v>390.90113700000001</v>
      </c>
      <c r="L76" s="8">
        <v>0.85489800000000005</v>
      </c>
      <c r="M76" s="7">
        <v>0</v>
      </c>
      <c r="N76" s="21">
        <v>1</v>
      </c>
      <c r="O76" s="16"/>
      <c r="P76" s="17"/>
      <c r="Q76" s="7">
        <f t="shared" si="0"/>
        <v>1042702.8310210146</v>
      </c>
    </row>
    <row r="77" spans="1:17" x14ac:dyDescent="0.35">
      <c r="A77" s="26"/>
      <c r="B77" s="27"/>
      <c r="C77" s="18" t="s">
        <v>146</v>
      </c>
      <c r="D77" s="16"/>
      <c r="E77" s="17"/>
      <c r="F77" s="3" t="s">
        <v>147</v>
      </c>
      <c r="G77" s="3" t="s">
        <v>21</v>
      </c>
      <c r="H77" s="4">
        <v>1</v>
      </c>
      <c r="I77" s="4">
        <v>198.00476699999999</v>
      </c>
      <c r="J77" s="5">
        <v>12</v>
      </c>
      <c r="K77" s="4">
        <v>282.22186399999998</v>
      </c>
      <c r="L77" s="8">
        <v>0.84629699999999997</v>
      </c>
      <c r="M77" s="7">
        <v>0</v>
      </c>
      <c r="N77" s="21">
        <v>1</v>
      </c>
      <c r="O77" s="16"/>
      <c r="P77" s="17"/>
      <c r="Q77" s="7">
        <f t="shared" si="0"/>
        <v>670575.29308350815</v>
      </c>
    </row>
    <row r="78" spans="1:17" x14ac:dyDescent="0.35">
      <c r="A78" s="26"/>
      <c r="B78" s="27"/>
      <c r="C78" s="18" t="s">
        <v>148</v>
      </c>
      <c r="D78" s="16"/>
      <c r="E78" s="17"/>
      <c r="F78" s="3" t="s">
        <v>149</v>
      </c>
      <c r="G78" s="3" t="s">
        <v>21</v>
      </c>
      <c r="H78" s="4">
        <v>1</v>
      </c>
      <c r="I78" s="4">
        <v>198.00476699999999</v>
      </c>
      <c r="J78" s="5">
        <v>1</v>
      </c>
      <c r="K78" s="4">
        <v>29.889379999999999</v>
      </c>
      <c r="L78" s="6">
        <v>0.94941600000000004</v>
      </c>
      <c r="M78" s="7">
        <v>0</v>
      </c>
      <c r="N78" s="21">
        <v>0.99999800000000005</v>
      </c>
      <c r="O78" s="16"/>
      <c r="P78" s="17"/>
      <c r="Q78" s="7">
        <f t="shared" si="0"/>
        <v>5918.2397226744597</v>
      </c>
    </row>
    <row r="79" spans="1:17" x14ac:dyDescent="0.35">
      <c r="A79" s="26"/>
      <c r="B79" s="27"/>
      <c r="C79" s="18" t="s">
        <v>150</v>
      </c>
      <c r="D79" s="16"/>
      <c r="E79" s="17"/>
      <c r="F79" s="3" t="s">
        <v>151</v>
      </c>
      <c r="G79" s="3" t="s">
        <v>21</v>
      </c>
      <c r="H79" s="4">
        <v>1</v>
      </c>
      <c r="I79" s="4">
        <v>198.00476699999999</v>
      </c>
      <c r="J79" s="5">
        <v>1</v>
      </c>
      <c r="K79" s="4">
        <v>0</v>
      </c>
      <c r="L79" s="6">
        <v>0.96182500000000004</v>
      </c>
      <c r="M79" s="7">
        <v>0</v>
      </c>
      <c r="N79" s="21">
        <v>0.99948499999999996</v>
      </c>
      <c r="O79" s="16"/>
      <c r="P79" s="17"/>
      <c r="Q79" s="7">
        <f t="shared" ref="Q79:Q142" si="1">((M79+K79)*J79)*I79</f>
        <v>0</v>
      </c>
    </row>
    <row r="80" spans="1:17" x14ac:dyDescent="0.35">
      <c r="A80" s="26"/>
      <c r="B80" s="27"/>
      <c r="C80" s="18" t="s">
        <v>152</v>
      </c>
      <c r="D80" s="16"/>
      <c r="E80" s="17"/>
      <c r="F80" s="3" t="s">
        <v>153</v>
      </c>
      <c r="G80" s="3" t="s">
        <v>21</v>
      </c>
      <c r="H80" s="4">
        <v>1</v>
      </c>
      <c r="I80" s="4">
        <v>266.74336099999999</v>
      </c>
      <c r="J80" s="5">
        <v>1</v>
      </c>
      <c r="K80" s="4">
        <v>0.79</v>
      </c>
      <c r="L80" s="6">
        <v>0.95383300000000004</v>
      </c>
      <c r="M80" s="7">
        <v>0</v>
      </c>
      <c r="N80" s="21">
        <v>1</v>
      </c>
      <c r="O80" s="16"/>
      <c r="P80" s="17"/>
      <c r="Q80" s="7">
        <f t="shared" si="1"/>
        <v>210.72725518999999</v>
      </c>
    </row>
    <row r="81" spans="1:17" x14ac:dyDescent="0.35">
      <c r="A81" s="26"/>
      <c r="B81" s="27"/>
      <c r="C81" s="18" t="s">
        <v>154</v>
      </c>
      <c r="D81" s="16"/>
      <c r="E81" s="17"/>
      <c r="F81" s="3" t="s">
        <v>155</v>
      </c>
      <c r="G81" s="3" t="s">
        <v>21</v>
      </c>
      <c r="H81" s="4">
        <v>1</v>
      </c>
      <c r="I81" s="4">
        <v>266.74336099999999</v>
      </c>
      <c r="J81" s="5">
        <v>1</v>
      </c>
      <c r="K81" s="4">
        <v>0</v>
      </c>
      <c r="L81" s="6">
        <v>0.96564000000000005</v>
      </c>
      <c r="M81" s="7">
        <v>0</v>
      </c>
      <c r="N81" s="21">
        <v>0.99801600000000001</v>
      </c>
      <c r="O81" s="16"/>
      <c r="P81" s="17"/>
      <c r="Q81" s="7">
        <f t="shared" si="1"/>
        <v>0</v>
      </c>
    </row>
    <row r="82" spans="1:17" x14ac:dyDescent="0.35">
      <c r="A82" s="26"/>
      <c r="B82" s="27"/>
      <c r="C82" s="18" t="s">
        <v>156</v>
      </c>
      <c r="D82" s="16"/>
      <c r="E82" s="17"/>
      <c r="F82" s="3" t="s">
        <v>157</v>
      </c>
      <c r="G82" s="3" t="s">
        <v>21</v>
      </c>
      <c r="H82" s="4">
        <v>1</v>
      </c>
      <c r="I82" s="4">
        <v>266.74336099999999</v>
      </c>
      <c r="J82" s="5">
        <v>1</v>
      </c>
      <c r="K82" s="4">
        <v>0</v>
      </c>
      <c r="L82" s="6">
        <v>0.99934100000000003</v>
      </c>
      <c r="M82" s="7">
        <v>0</v>
      </c>
      <c r="N82" s="21">
        <v>0.94331600000000004</v>
      </c>
      <c r="O82" s="16"/>
      <c r="P82" s="17"/>
      <c r="Q82" s="7">
        <f t="shared" si="1"/>
        <v>0</v>
      </c>
    </row>
    <row r="83" spans="1:17" x14ac:dyDescent="0.35">
      <c r="A83" s="26"/>
      <c r="B83" s="27"/>
      <c r="C83" s="18" t="s">
        <v>158</v>
      </c>
      <c r="D83" s="16"/>
      <c r="E83" s="17"/>
      <c r="F83" s="3" t="s">
        <v>159</v>
      </c>
      <c r="G83" s="3" t="s">
        <v>21</v>
      </c>
      <c r="H83" s="4">
        <v>1</v>
      </c>
      <c r="I83" s="4">
        <v>266.74336099999999</v>
      </c>
      <c r="J83" s="5">
        <v>6</v>
      </c>
      <c r="K83" s="4">
        <v>693.39207199999998</v>
      </c>
      <c r="L83" s="6">
        <v>0.900478</v>
      </c>
      <c r="M83" s="7">
        <v>0</v>
      </c>
      <c r="N83" s="21">
        <v>1</v>
      </c>
      <c r="O83" s="16"/>
      <c r="P83" s="17"/>
      <c r="Q83" s="7">
        <f t="shared" si="1"/>
        <v>1109746.3906562037</v>
      </c>
    </row>
    <row r="84" spans="1:17" x14ac:dyDescent="0.35">
      <c r="A84" s="26"/>
      <c r="B84" s="27"/>
      <c r="C84" s="18" t="s">
        <v>160</v>
      </c>
      <c r="D84" s="16"/>
      <c r="E84" s="17"/>
      <c r="F84" s="3" t="s">
        <v>161</v>
      </c>
      <c r="G84" s="3" t="s">
        <v>21</v>
      </c>
      <c r="H84" s="4">
        <v>1</v>
      </c>
      <c r="I84" s="4">
        <v>232.374064</v>
      </c>
      <c r="J84" s="5">
        <v>6</v>
      </c>
      <c r="K84" s="4">
        <v>459.703464</v>
      </c>
      <c r="L84" s="8">
        <v>0.87311000000000005</v>
      </c>
      <c r="M84" s="7">
        <v>0</v>
      </c>
      <c r="N84" s="21">
        <v>1</v>
      </c>
      <c r="O84" s="16"/>
      <c r="P84" s="17"/>
      <c r="Q84" s="7">
        <f t="shared" si="1"/>
        <v>640938.97298734623</v>
      </c>
    </row>
    <row r="85" spans="1:17" x14ac:dyDescent="0.35">
      <c r="A85" s="26"/>
      <c r="B85" s="27"/>
      <c r="C85" s="18" t="s">
        <v>162</v>
      </c>
      <c r="D85" s="16"/>
      <c r="E85" s="17"/>
      <c r="F85" s="3" t="s">
        <v>163</v>
      </c>
      <c r="G85" s="3" t="s">
        <v>21</v>
      </c>
      <c r="H85" s="4">
        <v>1</v>
      </c>
      <c r="I85" s="4">
        <v>198.00476699999999</v>
      </c>
      <c r="J85" s="5">
        <v>6</v>
      </c>
      <c r="K85" s="4">
        <v>753.16339100000005</v>
      </c>
      <c r="L85" s="8">
        <v>0.87326000000000004</v>
      </c>
      <c r="M85" s="7">
        <v>0</v>
      </c>
      <c r="N85" s="21">
        <v>1</v>
      </c>
      <c r="O85" s="16"/>
      <c r="P85" s="17"/>
      <c r="Q85" s="7">
        <f t="shared" si="1"/>
        <v>894779.65048730932</v>
      </c>
    </row>
    <row r="86" spans="1:17" x14ac:dyDescent="0.35">
      <c r="A86" s="26"/>
      <c r="B86" s="27"/>
      <c r="C86" s="18" t="s">
        <v>164</v>
      </c>
      <c r="D86" s="16"/>
      <c r="E86" s="17"/>
      <c r="F86" s="3" t="s">
        <v>165</v>
      </c>
      <c r="G86" s="3" t="s">
        <v>21</v>
      </c>
      <c r="H86" s="4">
        <v>1</v>
      </c>
      <c r="I86" s="4">
        <v>198.00476699999999</v>
      </c>
      <c r="J86" s="5">
        <v>1</v>
      </c>
      <c r="K86" s="4">
        <v>0</v>
      </c>
      <c r="L86" s="6">
        <v>0.954847</v>
      </c>
      <c r="M86" s="7">
        <v>0</v>
      </c>
      <c r="N86" s="21">
        <v>1</v>
      </c>
      <c r="O86" s="16"/>
      <c r="P86" s="17"/>
      <c r="Q86" s="7">
        <f t="shared" si="1"/>
        <v>0</v>
      </c>
    </row>
    <row r="87" spans="1:17" x14ac:dyDescent="0.35">
      <c r="A87" s="26"/>
      <c r="B87" s="27"/>
      <c r="C87" s="18" t="s">
        <v>166</v>
      </c>
      <c r="D87" s="16"/>
      <c r="E87" s="17"/>
      <c r="F87" s="3" t="s">
        <v>167</v>
      </c>
      <c r="G87" s="3" t="s">
        <v>21</v>
      </c>
      <c r="H87" s="4">
        <v>1</v>
      </c>
      <c r="I87" s="4">
        <v>198.00476699999999</v>
      </c>
      <c r="J87" s="5">
        <v>1</v>
      </c>
      <c r="K87" s="4">
        <v>0</v>
      </c>
      <c r="L87" s="6">
        <v>0.99228000000000005</v>
      </c>
      <c r="M87" s="7">
        <v>0</v>
      </c>
      <c r="N87" s="21">
        <v>0.97217799999999999</v>
      </c>
      <c r="O87" s="16"/>
      <c r="P87" s="17"/>
      <c r="Q87" s="7">
        <f t="shared" si="1"/>
        <v>0</v>
      </c>
    </row>
    <row r="88" spans="1:17" x14ac:dyDescent="0.35">
      <c r="A88" s="26"/>
      <c r="B88" s="27"/>
      <c r="C88" s="18" t="s">
        <v>168</v>
      </c>
      <c r="D88" s="16"/>
      <c r="E88" s="17"/>
      <c r="F88" s="3" t="s">
        <v>169</v>
      </c>
      <c r="G88" s="3" t="s">
        <v>21</v>
      </c>
      <c r="H88" s="4">
        <v>1</v>
      </c>
      <c r="I88" s="4">
        <v>232.374064</v>
      </c>
      <c r="J88" s="5">
        <v>1</v>
      </c>
      <c r="K88" s="4">
        <v>0</v>
      </c>
      <c r="L88" s="6">
        <v>0.99284899999999998</v>
      </c>
      <c r="M88" s="7">
        <v>0</v>
      </c>
      <c r="N88" s="21">
        <v>0.99940300000000004</v>
      </c>
      <c r="O88" s="16"/>
      <c r="P88" s="17"/>
      <c r="Q88" s="7">
        <f t="shared" si="1"/>
        <v>0</v>
      </c>
    </row>
    <row r="89" spans="1:17" x14ac:dyDescent="0.35">
      <c r="A89" s="26"/>
      <c r="B89" s="27"/>
      <c r="C89" s="18" t="s">
        <v>170</v>
      </c>
      <c r="D89" s="16"/>
      <c r="E89" s="17"/>
      <c r="F89" s="3" t="s">
        <v>171</v>
      </c>
      <c r="G89" s="3" t="s">
        <v>21</v>
      </c>
      <c r="H89" s="4">
        <v>1</v>
      </c>
      <c r="I89" s="4">
        <v>266.74336099999999</v>
      </c>
      <c r="J89" s="5">
        <v>1</v>
      </c>
      <c r="K89" s="4">
        <v>0</v>
      </c>
      <c r="L89" s="6">
        <v>0.99870499999999995</v>
      </c>
      <c r="M89" s="7">
        <v>0</v>
      </c>
      <c r="N89" s="21">
        <v>0.99984200000000001</v>
      </c>
      <c r="O89" s="16"/>
      <c r="P89" s="17"/>
      <c r="Q89" s="7">
        <f t="shared" si="1"/>
        <v>0</v>
      </c>
    </row>
    <row r="90" spans="1:17" x14ac:dyDescent="0.35">
      <c r="A90" s="26"/>
      <c r="B90" s="27"/>
      <c r="C90" s="18" t="s">
        <v>172</v>
      </c>
      <c r="D90" s="16"/>
      <c r="E90" s="17"/>
      <c r="F90" s="3" t="s">
        <v>173</v>
      </c>
      <c r="G90" s="3" t="s">
        <v>21</v>
      </c>
      <c r="H90" s="4">
        <v>1</v>
      </c>
      <c r="I90" s="4">
        <v>198.00476699999999</v>
      </c>
      <c r="J90" s="5">
        <v>1</v>
      </c>
      <c r="K90" s="4">
        <v>0</v>
      </c>
      <c r="L90" s="6">
        <v>0.99995900000000004</v>
      </c>
      <c r="M90" s="7">
        <v>0</v>
      </c>
      <c r="N90" s="21">
        <v>0.99657899999999999</v>
      </c>
      <c r="O90" s="16"/>
      <c r="P90" s="17"/>
      <c r="Q90" s="7">
        <f t="shared" si="1"/>
        <v>0</v>
      </c>
    </row>
    <row r="91" spans="1:17" x14ac:dyDescent="0.35">
      <c r="A91" s="26"/>
      <c r="B91" s="27"/>
      <c r="C91" s="18" t="s">
        <v>174</v>
      </c>
      <c r="D91" s="16"/>
      <c r="E91" s="17"/>
      <c r="F91" s="3" t="s">
        <v>175</v>
      </c>
      <c r="G91" s="3" t="s">
        <v>21</v>
      </c>
      <c r="H91" s="4">
        <v>1</v>
      </c>
      <c r="I91" s="4">
        <v>266.74336099999999</v>
      </c>
      <c r="J91" s="5">
        <v>1</v>
      </c>
      <c r="K91" s="4">
        <v>8.9314000000000004E-2</v>
      </c>
      <c r="L91" s="6">
        <v>0.98061699999999996</v>
      </c>
      <c r="M91" s="7">
        <v>0</v>
      </c>
      <c r="N91" s="21">
        <v>0.99997800000000003</v>
      </c>
      <c r="O91" s="16"/>
      <c r="P91" s="17"/>
      <c r="Q91" s="7">
        <f t="shared" si="1"/>
        <v>23.823916544353999</v>
      </c>
    </row>
    <row r="92" spans="1:17" x14ac:dyDescent="0.35">
      <c r="A92" s="26"/>
      <c r="B92" s="27"/>
      <c r="C92" s="18" t="s">
        <v>176</v>
      </c>
      <c r="D92" s="16"/>
      <c r="E92" s="17"/>
      <c r="F92" s="3" t="s">
        <v>177</v>
      </c>
      <c r="G92" s="3" t="s">
        <v>21</v>
      </c>
      <c r="H92" s="4">
        <v>1</v>
      </c>
      <c r="I92" s="4">
        <v>266.74336099999999</v>
      </c>
      <c r="J92" s="5">
        <v>1</v>
      </c>
      <c r="K92" s="4">
        <v>0</v>
      </c>
      <c r="L92" s="6">
        <v>0.99988299999999997</v>
      </c>
      <c r="M92" s="7">
        <v>0</v>
      </c>
      <c r="N92" s="21">
        <v>0.99990100000000004</v>
      </c>
      <c r="O92" s="16"/>
      <c r="P92" s="17"/>
      <c r="Q92" s="7">
        <f t="shared" si="1"/>
        <v>0</v>
      </c>
    </row>
    <row r="93" spans="1:17" x14ac:dyDescent="0.35">
      <c r="A93" s="26"/>
      <c r="B93" s="27"/>
      <c r="C93" s="18" t="s">
        <v>178</v>
      </c>
      <c r="D93" s="16"/>
      <c r="E93" s="17"/>
      <c r="F93" s="3" t="s">
        <v>179</v>
      </c>
      <c r="G93" s="3" t="s">
        <v>21</v>
      </c>
      <c r="H93" s="4">
        <v>1</v>
      </c>
      <c r="I93" s="4">
        <v>266.74336099999999</v>
      </c>
      <c r="J93" s="5">
        <v>6</v>
      </c>
      <c r="K93" s="4">
        <v>467.317657</v>
      </c>
      <c r="L93" s="8">
        <v>0.88739199999999996</v>
      </c>
      <c r="M93" s="7">
        <v>0</v>
      </c>
      <c r="N93" s="21">
        <v>1</v>
      </c>
      <c r="O93" s="16"/>
      <c r="P93" s="17"/>
      <c r="Q93" s="7">
        <f t="shared" si="1"/>
        <v>747923.29489695106</v>
      </c>
    </row>
    <row r="94" spans="1:17" x14ac:dyDescent="0.35">
      <c r="A94" s="26"/>
      <c r="B94" s="27"/>
      <c r="C94" s="18" t="s">
        <v>180</v>
      </c>
      <c r="D94" s="16"/>
      <c r="E94" s="17"/>
      <c r="F94" s="3" t="s">
        <v>181</v>
      </c>
      <c r="G94" s="3" t="s">
        <v>21</v>
      </c>
      <c r="H94" s="4">
        <v>1</v>
      </c>
      <c r="I94" s="4">
        <v>266.74336099999999</v>
      </c>
      <c r="J94" s="5">
        <v>7</v>
      </c>
      <c r="K94" s="4">
        <v>24.761303000000002</v>
      </c>
      <c r="L94" s="6">
        <v>0.98787100000000005</v>
      </c>
      <c r="M94" s="7">
        <v>0</v>
      </c>
      <c r="N94" s="21">
        <v>0.99999499999999997</v>
      </c>
      <c r="O94" s="16"/>
      <c r="P94" s="17"/>
      <c r="Q94" s="7">
        <f t="shared" si="1"/>
        <v>46234.392294715683</v>
      </c>
    </row>
    <row r="95" spans="1:17" x14ac:dyDescent="0.35">
      <c r="A95" s="26"/>
      <c r="B95" s="27"/>
      <c r="C95" s="18" t="s">
        <v>182</v>
      </c>
      <c r="D95" s="16"/>
      <c r="E95" s="17"/>
      <c r="F95" s="3" t="s">
        <v>183</v>
      </c>
      <c r="G95" s="3" t="s">
        <v>21</v>
      </c>
      <c r="H95" s="4">
        <v>1</v>
      </c>
      <c r="I95" s="4">
        <v>266.74336099999999</v>
      </c>
      <c r="J95" s="5">
        <v>1</v>
      </c>
      <c r="K95" s="4">
        <v>0</v>
      </c>
      <c r="L95" s="6">
        <v>0.99757799999999996</v>
      </c>
      <c r="M95" s="7">
        <v>0</v>
      </c>
      <c r="N95" s="21">
        <v>1</v>
      </c>
      <c r="O95" s="16"/>
      <c r="P95" s="17"/>
      <c r="Q95" s="7">
        <f t="shared" si="1"/>
        <v>0</v>
      </c>
    </row>
    <row r="96" spans="1:17" x14ac:dyDescent="0.35">
      <c r="A96" s="26"/>
      <c r="B96" s="27"/>
      <c r="C96" s="18" t="s">
        <v>184</v>
      </c>
      <c r="D96" s="16"/>
      <c r="E96" s="17"/>
      <c r="F96" s="3" t="s">
        <v>185</v>
      </c>
      <c r="G96" s="3" t="s">
        <v>21</v>
      </c>
      <c r="H96" s="4">
        <v>1</v>
      </c>
      <c r="I96" s="4">
        <v>266.74336099999999</v>
      </c>
      <c r="J96" s="5">
        <v>9</v>
      </c>
      <c r="K96" s="4">
        <v>16.463659</v>
      </c>
      <c r="L96" s="6">
        <v>0.98532900000000001</v>
      </c>
      <c r="M96" s="7">
        <v>0</v>
      </c>
      <c r="N96" s="21">
        <v>1</v>
      </c>
      <c r="O96" s="16"/>
      <c r="P96" s="17"/>
      <c r="Q96" s="7">
        <f t="shared" si="1"/>
        <v>39524.145624161094</v>
      </c>
    </row>
    <row r="97" spans="1:17" x14ac:dyDescent="0.35">
      <c r="A97" s="26"/>
      <c r="B97" s="27"/>
      <c r="C97" s="18" t="s">
        <v>186</v>
      </c>
      <c r="D97" s="16"/>
      <c r="E97" s="17"/>
      <c r="F97" s="3" t="s">
        <v>187</v>
      </c>
      <c r="G97" s="3" t="s">
        <v>21</v>
      </c>
      <c r="H97" s="4">
        <v>1</v>
      </c>
      <c r="I97" s="4">
        <v>198.00476699999999</v>
      </c>
      <c r="J97" s="5">
        <v>1</v>
      </c>
      <c r="K97" s="4">
        <v>0</v>
      </c>
      <c r="L97" s="6">
        <v>1</v>
      </c>
      <c r="M97" s="7">
        <v>0</v>
      </c>
      <c r="N97" s="21">
        <v>0.99999400000000005</v>
      </c>
      <c r="O97" s="16"/>
      <c r="P97" s="17"/>
      <c r="Q97" s="7">
        <f t="shared" si="1"/>
        <v>0</v>
      </c>
    </row>
    <row r="98" spans="1:17" x14ac:dyDescent="0.35">
      <c r="A98" s="26"/>
      <c r="B98" s="27"/>
      <c r="C98" s="18" t="s">
        <v>188</v>
      </c>
      <c r="D98" s="16"/>
      <c r="E98" s="17"/>
      <c r="F98" s="3" t="s">
        <v>189</v>
      </c>
      <c r="G98" s="3" t="s">
        <v>21</v>
      </c>
      <c r="H98" s="4">
        <v>1</v>
      </c>
      <c r="I98" s="4">
        <v>266.74336099999999</v>
      </c>
      <c r="J98" s="5">
        <v>12</v>
      </c>
      <c r="K98" s="4">
        <v>321.253443</v>
      </c>
      <c r="L98" s="6">
        <v>0.91293500000000005</v>
      </c>
      <c r="M98" s="7">
        <v>0</v>
      </c>
      <c r="N98" s="21">
        <v>1</v>
      </c>
      <c r="O98" s="16"/>
      <c r="P98" s="17"/>
      <c r="Q98" s="7">
        <f t="shared" si="1"/>
        <v>1028306.677423703</v>
      </c>
    </row>
    <row r="99" spans="1:17" x14ac:dyDescent="0.35">
      <c r="A99" s="26"/>
      <c r="B99" s="27"/>
      <c r="C99" s="18" t="s">
        <v>190</v>
      </c>
      <c r="D99" s="16"/>
      <c r="E99" s="17"/>
      <c r="F99" s="3" t="s">
        <v>191</v>
      </c>
      <c r="G99" s="3" t="s">
        <v>21</v>
      </c>
      <c r="H99" s="4">
        <v>1</v>
      </c>
      <c r="I99" s="4">
        <v>266.74336099999999</v>
      </c>
      <c r="J99" s="5">
        <v>1</v>
      </c>
      <c r="K99" s="4">
        <v>10.041696999999999</v>
      </c>
      <c r="L99" s="6">
        <v>0.95170999999999994</v>
      </c>
      <c r="M99" s="7">
        <v>0</v>
      </c>
      <c r="N99" s="21">
        <v>0.99992800000000004</v>
      </c>
      <c r="O99" s="16"/>
      <c r="P99" s="17"/>
      <c r="Q99" s="7">
        <f t="shared" si="1"/>
        <v>2678.5560079236166</v>
      </c>
    </row>
    <row r="100" spans="1:17" x14ac:dyDescent="0.35">
      <c r="A100" s="26"/>
      <c r="B100" s="27"/>
      <c r="C100" s="18" t="s">
        <v>192</v>
      </c>
      <c r="D100" s="16"/>
      <c r="E100" s="17"/>
      <c r="F100" s="3" t="s">
        <v>193</v>
      </c>
      <c r="G100" s="3" t="s">
        <v>21</v>
      </c>
      <c r="H100" s="4">
        <v>1</v>
      </c>
      <c r="I100" s="4">
        <v>232.374064</v>
      </c>
      <c r="J100" s="5">
        <v>9</v>
      </c>
      <c r="K100" s="4">
        <v>271.79252400000001</v>
      </c>
      <c r="L100" s="6">
        <v>0.90154400000000001</v>
      </c>
      <c r="M100" s="7">
        <v>0</v>
      </c>
      <c r="N100" s="21">
        <v>0.99993900000000002</v>
      </c>
      <c r="O100" s="16"/>
      <c r="P100" s="17"/>
      <c r="Q100" s="7">
        <f t="shared" si="1"/>
        <v>568417.80030027789</v>
      </c>
    </row>
    <row r="101" spans="1:17" x14ac:dyDescent="0.35">
      <c r="A101" s="26"/>
      <c r="B101" s="27"/>
      <c r="C101" s="18" t="s">
        <v>194</v>
      </c>
      <c r="D101" s="16"/>
      <c r="E101" s="17"/>
      <c r="F101" s="3" t="s">
        <v>195</v>
      </c>
      <c r="G101" s="3" t="s">
        <v>21</v>
      </c>
      <c r="H101" s="4">
        <v>1</v>
      </c>
      <c r="I101" s="4">
        <v>198.00476699999999</v>
      </c>
      <c r="J101" s="5">
        <v>1</v>
      </c>
      <c r="K101" s="4">
        <v>1.6939420000000001</v>
      </c>
      <c r="L101" s="6">
        <v>0.96335800000000005</v>
      </c>
      <c r="M101" s="7">
        <v>0</v>
      </c>
      <c r="N101" s="21">
        <v>0.99177099999999996</v>
      </c>
      <c r="O101" s="16"/>
      <c r="P101" s="17"/>
      <c r="Q101" s="7">
        <f t="shared" si="1"/>
        <v>335.40859102151398</v>
      </c>
    </row>
    <row r="102" spans="1:17" x14ac:dyDescent="0.35">
      <c r="A102" s="26"/>
      <c r="B102" s="27"/>
      <c r="C102" s="18" t="s">
        <v>196</v>
      </c>
      <c r="D102" s="16"/>
      <c r="E102" s="17"/>
      <c r="F102" s="3" t="s">
        <v>197</v>
      </c>
      <c r="G102" s="3" t="s">
        <v>21</v>
      </c>
      <c r="H102" s="4">
        <v>1</v>
      </c>
      <c r="I102" s="4">
        <v>266.74336099999999</v>
      </c>
      <c r="J102" s="5">
        <v>1</v>
      </c>
      <c r="K102" s="4">
        <v>116.572053</v>
      </c>
      <c r="L102" s="8">
        <v>0.86762399999999995</v>
      </c>
      <c r="M102" s="7">
        <v>745.08519999999999</v>
      </c>
      <c r="N102" s="24">
        <v>0.65517099999999995</v>
      </c>
      <c r="O102" s="16"/>
      <c r="P102" s="17"/>
      <c r="Q102" s="7">
        <f t="shared" si="1"/>
        <v>229841.35169524731</v>
      </c>
    </row>
    <row r="103" spans="1:17" x14ac:dyDescent="0.35">
      <c r="A103" s="26"/>
      <c r="B103" s="27"/>
      <c r="C103" s="18" t="s">
        <v>198</v>
      </c>
      <c r="D103" s="16"/>
      <c r="E103" s="17"/>
      <c r="F103" s="3" t="s">
        <v>199</v>
      </c>
      <c r="G103" s="3" t="s">
        <v>21</v>
      </c>
      <c r="H103" s="4">
        <v>1</v>
      </c>
      <c r="I103" s="4">
        <v>266.74336099999999</v>
      </c>
      <c r="J103" s="5">
        <v>5</v>
      </c>
      <c r="K103" s="4">
        <v>17.037526</v>
      </c>
      <c r="L103" s="6">
        <v>0.94805799999999996</v>
      </c>
      <c r="M103" s="7">
        <v>0</v>
      </c>
      <c r="N103" s="21">
        <v>1</v>
      </c>
      <c r="O103" s="16"/>
      <c r="P103" s="17"/>
      <c r="Q103" s="7">
        <f t="shared" si="1"/>
        <v>22723.234741824428</v>
      </c>
    </row>
    <row r="104" spans="1:17" x14ac:dyDescent="0.35">
      <c r="A104" s="26"/>
      <c r="B104" s="27"/>
      <c r="C104" s="18" t="s">
        <v>200</v>
      </c>
      <c r="D104" s="16"/>
      <c r="E104" s="17"/>
      <c r="F104" s="3" t="s">
        <v>201</v>
      </c>
      <c r="G104" s="3" t="s">
        <v>21</v>
      </c>
      <c r="H104" s="4">
        <v>1</v>
      </c>
      <c r="I104" s="4">
        <v>198.00476699999999</v>
      </c>
      <c r="J104" s="5">
        <v>1</v>
      </c>
      <c r="K104" s="4">
        <v>5.9910999999999999E-2</v>
      </c>
      <c r="L104" s="6">
        <v>0.98881399999999997</v>
      </c>
      <c r="M104" s="7">
        <v>0</v>
      </c>
      <c r="N104" s="21">
        <v>0.978271</v>
      </c>
      <c r="O104" s="16"/>
      <c r="P104" s="17"/>
      <c r="Q104" s="7">
        <f t="shared" si="1"/>
        <v>11.862663595736999</v>
      </c>
    </row>
    <row r="105" spans="1:17" x14ac:dyDescent="0.35">
      <c r="A105" s="26"/>
      <c r="B105" s="27"/>
      <c r="C105" s="18" t="s">
        <v>202</v>
      </c>
      <c r="D105" s="16"/>
      <c r="E105" s="17"/>
      <c r="F105" s="3" t="s">
        <v>203</v>
      </c>
      <c r="G105" s="3" t="s">
        <v>21</v>
      </c>
      <c r="H105" s="4">
        <v>1</v>
      </c>
      <c r="I105" s="4">
        <v>198.00476699999999</v>
      </c>
      <c r="J105" s="5">
        <v>1</v>
      </c>
      <c r="K105" s="4">
        <v>0.210841</v>
      </c>
      <c r="L105" s="6">
        <v>0.96493499999999999</v>
      </c>
      <c r="M105" s="7">
        <v>0</v>
      </c>
      <c r="N105" s="21">
        <v>0.99951999999999996</v>
      </c>
      <c r="O105" s="16"/>
      <c r="P105" s="17"/>
      <c r="Q105" s="7">
        <f t="shared" si="1"/>
        <v>41.747523079046999</v>
      </c>
    </row>
    <row r="106" spans="1:17" x14ac:dyDescent="0.35">
      <c r="A106" s="26"/>
      <c r="B106" s="27"/>
      <c r="C106" s="18" t="s">
        <v>204</v>
      </c>
      <c r="D106" s="16"/>
      <c r="E106" s="17"/>
      <c r="F106" s="3" t="s">
        <v>205</v>
      </c>
      <c r="G106" s="3" t="s">
        <v>21</v>
      </c>
      <c r="H106" s="4">
        <v>1</v>
      </c>
      <c r="I106" s="4">
        <v>232.374064</v>
      </c>
      <c r="J106" s="5">
        <v>1</v>
      </c>
      <c r="K106" s="4">
        <v>0</v>
      </c>
      <c r="L106" s="6">
        <v>0.99595100000000003</v>
      </c>
      <c r="M106" s="7">
        <v>0</v>
      </c>
      <c r="N106" s="21">
        <v>0.96782100000000004</v>
      </c>
      <c r="O106" s="16"/>
      <c r="P106" s="17"/>
      <c r="Q106" s="7">
        <f t="shared" si="1"/>
        <v>0</v>
      </c>
    </row>
    <row r="107" spans="1:17" x14ac:dyDescent="0.35">
      <c r="A107" s="26"/>
      <c r="B107" s="27"/>
      <c r="C107" s="18" t="s">
        <v>206</v>
      </c>
      <c r="D107" s="16"/>
      <c r="E107" s="17"/>
      <c r="F107" s="3" t="s">
        <v>207</v>
      </c>
      <c r="G107" s="3" t="s">
        <v>21</v>
      </c>
      <c r="H107" s="4">
        <v>1</v>
      </c>
      <c r="I107" s="4">
        <v>266.74336099999999</v>
      </c>
      <c r="J107" s="5">
        <v>1</v>
      </c>
      <c r="K107" s="4">
        <v>0.30734499999999998</v>
      </c>
      <c r="L107" s="6">
        <v>0.99377700000000002</v>
      </c>
      <c r="M107" s="7">
        <v>0</v>
      </c>
      <c r="N107" s="21">
        <v>0.97704500000000005</v>
      </c>
      <c r="O107" s="16"/>
      <c r="P107" s="17"/>
      <c r="Q107" s="7">
        <f t="shared" si="1"/>
        <v>81.982238286544998</v>
      </c>
    </row>
    <row r="108" spans="1:17" x14ac:dyDescent="0.35">
      <c r="A108" s="26"/>
      <c r="B108" s="27"/>
      <c r="C108" s="18" t="s">
        <v>208</v>
      </c>
      <c r="D108" s="16"/>
      <c r="E108" s="17"/>
      <c r="F108" s="3" t="s">
        <v>209</v>
      </c>
      <c r="G108" s="3" t="s">
        <v>21</v>
      </c>
      <c r="H108" s="4">
        <v>1</v>
      </c>
      <c r="I108" s="4">
        <v>198.00476699999999</v>
      </c>
      <c r="J108" s="5">
        <v>6</v>
      </c>
      <c r="K108" s="4">
        <v>0</v>
      </c>
      <c r="L108" s="6">
        <v>0.99918899999999999</v>
      </c>
      <c r="M108" s="7">
        <v>114.509</v>
      </c>
      <c r="N108" s="24">
        <v>0.80825599999999997</v>
      </c>
      <c r="O108" s="16"/>
      <c r="P108" s="17"/>
      <c r="Q108" s="7">
        <f t="shared" si="1"/>
        <v>136039.96718641798</v>
      </c>
    </row>
    <row r="109" spans="1:17" x14ac:dyDescent="0.35">
      <c r="A109" s="26"/>
      <c r="B109" s="27"/>
      <c r="C109" s="18" t="s">
        <v>210</v>
      </c>
      <c r="D109" s="16"/>
      <c r="E109" s="17"/>
      <c r="F109" s="3" t="s">
        <v>211</v>
      </c>
      <c r="G109" s="3" t="s">
        <v>21</v>
      </c>
      <c r="H109" s="4">
        <v>1</v>
      </c>
      <c r="I109" s="4">
        <v>198.00476699999999</v>
      </c>
      <c r="J109" s="5">
        <v>12</v>
      </c>
      <c r="K109" s="4">
        <v>0.10791199999999999</v>
      </c>
      <c r="L109" s="6">
        <v>0.98126599999999997</v>
      </c>
      <c r="M109" s="7">
        <v>3.0760000000000001</v>
      </c>
      <c r="N109" s="24">
        <v>0.88586600000000004</v>
      </c>
      <c r="O109" s="16"/>
      <c r="P109" s="17"/>
      <c r="Q109" s="7">
        <f t="shared" si="1"/>
        <v>7565.1570445020479</v>
      </c>
    </row>
    <row r="110" spans="1:17" x14ac:dyDescent="0.35">
      <c r="A110" s="26"/>
      <c r="B110" s="27"/>
      <c r="C110" s="18" t="s">
        <v>212</v>
      </c>
      <c r="D110" s="16"/>
      <c r="E110" s="17"/>
      <c r="F110" s="3" t="s">
        <v>213</v>
      </c>
      <c r="G110" s="3" t="s">
        <v>21</v>
      </c>
      <c r="H110" s="4">
        <v>1</v>
      </c>
      <c r="I110" s="4">
        <v>198.00476699999999</v>
      </c>
      <c r="J110" s="5">
        <v>1</v>
      </c>
      <c r="K110" s="4">
        <v>0</v>
      </c>
      <c r="L110" s="6">
        <v>1</v>
      </c>
      <c r="M110" s="7">
        <v>0</v>
      </c>
      <c r="N110" s="21">
        <v>0.97306099999999995</v>
      </c>
      <c r="O110" s="16"/>
      <c r="P110" s="17"/>
      <c r="Q110" s="7">
        <f t="shared" si="1"/>
        <v>0</v>
      </c>
    </row>
    <row r="111" spans="1:17" x14ac:dyDescent="0.35">
      <c r="A111" s="26"/>
      <c r="B111" s="27"/>
      <c r="C111" s="18" t="s">
        <v>214</v>
      </c>
      <c r="D111" s="16"/>
      <c r="E111" s="17"/>
      <c r="F111" s="3" t="s">
        <v>215</v>
      </c>
      <c r="G111" s="3" t="s">
        <v>21</v>
      </c>
      <c r="H111" s="4">
        <v>1</v>
      </c>
      <c r="I111" s="4">
        <v>198.00476699999999</v>
      </c>
      <c r="J111" s="5">
        <v>1</v>
      </c>
      <c r="K111" s="4">
        <v>2.185886</v>
      </c>
      <c r="L111" s="6">
        <v>0.99758800000000003</v>
      </c>
      <c r="M111" s="7">
        <v>0</v>
      </c>
      <c r="N111" s="21">
        <v>0.99718899999999999</v>
      </c>
      <c r="O111" s="16"/>
      <c r="P111" s="17"/>
      <c r="Q111" s="7">
        <f t="shared" si="1"/>
        <v>432.81584811856197</v>
      </c>
    </row>
    <row r="112" spans="1:17" x14ac:dyDescent="0.35">
      <c r="A112" s="26"/>
      <c r="B112" s="27"/>
      <c r="C112" s="18" t="s">
        <v>216</v>
      </c>
      <c r="D112" s="16"/>
      <c r="E112" s="17"/>
      <c r="F112" s="3" t="s">
        <v>217</v>
      </c>
      <c r="G112" s="3" t="s">
        <v>21</v>
      </c>
      <c r="H112" s="4">
        <v>1</v>
      </c>
      <c r="I112" s="4">
        <v>198.00476699999999</v>
      </c>
      <c r="J112" s="5">
        <v>1</v>
      </c>
      <c r="K112" s="4">
        <v>0</v>
      </c>
      <c r="L112" s="6">
        <v>0.99923300000000004</v>
      </c>
      <c r="M112" s="7">
        <v>0</v>
      </c>
      <c r="N112" s="21">
        <v>0.98507900000000004</v>
      </c>
      <c r="O112" s="16"/>
      <c r="P112" s="17"/>
      <c r="Q112" s="7">
        <f t="shared" si="1"/>
        <v>0</v>
      </c>
    </row>
    <row r="113" spans="1:17" x14ac:dyDescent="0.35">
      <c r="A113" s="26"/>
      <c r="B113" s="27"/>
      <c r="C113" s="18" t="s">
        <v>218</v>
      </c>
      <c r="D113" s="16"/>
      <c r="E113" s="17"/>
      <c r="F113" s="3" t="s">
        <v>219</v>
      </c>
      <c r="G113" s="3" t="s">
        <v>21</v>
      </c>
      <c r="H113" s="4">
        <v>1</v>
      </c>
      <c r="I113" s="4">
        <v>198.00476699999999</v>
      </c>
      <c r="J113" s="5">
        <v>1</v>
      </c>
      <c r="K113" s="4">
        <v>0</v>
      </c>
      <c r="L113" s="6">
        <v>1</v>
      </c>
      <c r="M113" s="7">
        <v>0</v>
      </c>
      <c r="N113" s="21">
        <v>0.98939200000000005</v>
      </c>
      <c r="O113" s="16"/>
      <c r="P113" s="17"/>
      <c r="Q113" s="7">
        <f t="shared" si="1"/>
        <v>0</v>
      </c>
    </row>
    <row r="114" spans="1:17" x14ac:dyDescent="0.35">
      <c r="A114" s="26"/>
      <c r="B114" s="27"/>
      <c r="C114" s="18" t="s">
        <v>220</v>
      </c>
      <c r="D114" s="16"/>
      <c r="E114" s="17"/>
      <c r="F114" s="3" t="s">
        <v>221</v>
      </c>
      <c r="G114" s="3" t="s">
        <v>21</v>
      </c>
      <c r="H114" s="4">
        <v>1</v>
      </c>
      <c r="I114" s="4">
        <v>198.00476699999999</v>
      </c>
      <c r="J114" s="5">
        <v>1</v>
      </c>
      <c r="K114" s="4">
        <v>0.25195400000000001</v>
      </c>
      <c r="L114" s="6">
        <v>0.99429699999999999</v>
      </c>
      <c r="M114" s="7">
        <v>0</v>
      </c>
      <c r="N114" s="21">
        <v>0.99784499999999998</v>
      </c>
      <c r="O114" s="16"/>
      <c r="P114" s="17"/>
      <c r="Q114" s="7">
        <f t="shared" si="1"/>
        <v>49.888093064717999</v>
      </c>
    </row>
    <row r="115" spans="1:17" x14ac:dyDescent="0.35">
      <c r="A115" s="26"/>
      <c r="B115" s="27"/>
      <c r="C115" s="18" t="s">
        <v>222</v>
      </c>
      <c r="D115" s="16"/>
      <c r="E115" s="17"/>
      <c r="F115" s="3" t="s">
        <v>223</v>
      </c>
      <c r="G115" s="3" t="s">
        <v>21</v>
      </c>
      <c r="H115" s="4">
        <v>1</v>
      </c>
      <c r="I115" s="4">
        <v>198.00476699999999</v>
      </c>
      <c r="J115" s="5">
        <v>1</v>
      </c>
      <c r="K115" s="4">
        <v>325.93764599999997</v>
      </c>
      <c r="L115" s="6">
        <v>0.95308800000000005</v>
      </c>
      <c r="M115" s="7">
        <v>0</v>
      </c>
      <c r="N115" s="21">
        <v>0.99999099999999996</v>
      </c>
      <c r="O115" s="16"/>
      <c r="P115" s="17"/>
      <c r="Q115" s="7">
        <f t="shared" si="1"/>
        <v>64537.207652758472</v>
      </c>
    </row>
    <row r="116" spans="1:17" x14ac:dyDescent="0.35">
      <c r="A116" s="26"/>
      <c r="B116" s="27"/>
      <c r="C116" s="18" t="s">
        <v>224</v>
      </c>
      <c r="D116" s="16"/>
      <c r="E116" s="17"/>
      <c r="F116" s="3" t="s">
        <v>225</v>
      </c>
      <c r="G116" s="3" t="s">
        <v>21</v>
      </c>
      <c r="H116" s="4">
        <v>1</v>
      </c>
      <c r="I116" s="4">
        <v>198.00476699999999</v>
      </c>
      <c r="J116" s="5">
        <v>1</v>
      </c>
      <c r="K116" s="4">
        <f>21.768691+155.05</f>
        <v>176.818691</v>
      </c>
      <c r="L116" s="6">
        <v>0.96104000000000001</v>
      </c>
      <c r="M116" s="7">
        <v>0</v>
      </c>
      <c r="N116" s="21">
        <v>0.99942500000000001</v>
      </c>
      <c r="O116" s="16"/>
      <c r="P116" s="17"/>
      <c r="Q116" s="7">
        <f t="shared" si="1"/>
        <v>35010.943712699998</v>
      </c>
    </row>
    <row r="117" spans="1:17" x14ac:dyDescent="0.35">
      <c r="A117" s="26"/>
      <c r="B117" s="27"/>
      <c r="C117" s="18" t="s">
        <v>226</v>
      </c>
      <c r="D117" s="16"/>
      <c r="E117" s="17"/>
      <c r="F117" s="3" t="s">
        <v>227</v>
      </c>
      <c r="G117" s="3" t="s">
        <v>21</v>
      </c>
      <c r="H117" s="4">
        <v>1</v>
      </c>
      <c r="I117" s="4">
        <v>266.74336099999999</v>
      </c>
      <c r="J117" s="5">
        <v>1</v>
      </c>
      <c r="K117" s="4">
        <v>0</v>
      </c>
      <c r="L117" s="6">
        <v>0.99538700000000002</v>
      </c>
      <c r="M117" s="7">
        <v>0</v>
      </c>
      <c r="N117" s="21">
        <v>0.998977</v>
      </c>
      <c r="O117" s="16"/>
      <c r="P117" s="17"/>
      <c r="Q117" s="7">
        <f t="shared" si="1"/>
        <v>0</v>
      </c>
    </row>
    <row r="118" spans="1:17" x14ac:dyDescent="0.35">
      <c r="A118" s="26"/>
      <c r="B118" s="27"/>
      <c r="C118" s="18" t="s">
        <v>228</v>
      </c>
      <c r="D118" s="16"/>
      <c r="E118" s="17"/>
      <c r="F118" s="3" t="s">
        <v>229</v>
      </c>
      <c r="G118" s="3" t="s">
        <v>21</v>
      </c>
      <c r="H118" s="4">
        <v>1</v>
      </c>
      <c r="I118" s="4">
        <v>198.00476699999999</v>
      </c>
      <c r="J118" s="5">
        <v>1</v>
      </c>
      <c r="K118" s="4">
        <v>727.09896800000001</v>
      </c>
      <c r="L118" s="8">
        <v>0.83033999999999997</v>
      </c>
      <c r="M118" s="7">
        <v>0</v>
      </c>
      <c r="N118" s="21">
        <v>0.99996300000000005</v>
      </c>
      <c r="O118" s="16"/>
      <c r="P118" s="17"/>
      <c r="Q118" s="7">
        <f t="shared" si="1"/>
        <v>143969.06174478045</v>
      </c>
    </row>
    <row r="119" spans="1:17" x14ac:dyDescent="0.35">
      <c r="A119" s="26"/>
      <c r="B119" s="27"/>
      <c r="C119" s="18" t="s">
        <v>230</v>
      </c>
      <c r="D119" s="16"/>
      <c r="E119" s="17"/>
      <c r="F119" s="3" t="s">
        <v>231</v>
      </c>
      <c r="G119" s="3" t="s">
        <v>21</v>
      </c>
      <c r="H119" s="4">
        <v>1</v>
      </c>
      <c r="I119" s="4">
        <v>266.74336099999999</v>
      </c>
      <c r="J119" s="5">
        <v>1</v>
      </c>
      <c r="K119" s="4">
        <v>425.04208399999999</v>
      </c>
      <c r="L119" s="6">
        <v>0.973105</v>
      </c>
      <c r="M119" s="7">
        <v>0</v>
      </c>
      <c r="N119" s="21">
        <v>1</v>
      </c>
      <c r="O119" s="16"/>
      <c r="P119" s="17"/>
      <c r="Q119" s="7">
        <f t="shared" si="1"/>
        <v>113377.15405260432</v>
      </c>
    </row>
    <row r="120" spans="1:17" x14ac:dyDescent="0.35">
      <c r="A120" s="26"/>
      <c r="B120" s="27"/>
      <c r="C120" s="18" t="s">
        <v>232</v>
      </c>
      <c r="D120" s="16"/>
      <c r="E120" s="17"/>
      <c r="F120" s="3" t="s">
        <v>233</v>
      </c>
      <c r="G120" s="3" t="s">
        <v>21</v>
      </c>
      <c r="H120" s="4">
        <v>1</v>
      </c>
      <c r="I120" s="4">
        <v>266.74336099999999</v>
      </c>
      <c r="J120" s="5">
        <v>1</v>
      </c>
      <c r="K120" s="4">
        <v>2.0437759999999998</v>
      </c>
      <c r="L120" s="6">
        <v>0.96443900000000005</v>
      </c>
      <c r="M120" s="7">
        <v>0</v>
      </c>
      <c r="N120" s="21">
        <v>1</v>
      </c>
      <c r="O120" s="16"/>
      <c r="P120" s="17"/>
      <c r="Q120" s="7">
        <f t="shared" si="1"/>
        <v>545.16367937113591</v>
      </c>
    </row>
    <row r="121" spans="1:17" x14ac:dyDescent="0.35">
      <c r="A121" s="26"/>
      <c r="B121" s="27"/>
      <c r="C121" s="18" t="s">
        <v>234</v>
      </c>
      <c r="D121" s="16"/>
      <c r="E121" s="17"/>
      <c r="F121" s="3" t="s">
        <v>235</v>
      </c>
      <c r="G121" s="3" t="s">
        <v>21</v>
      </c>
      <c r="H121" s="4">
        <v>1</v>
      </c>
      <c r="I121" s="4">
        <v>198.00476699999999</v>
      </c>
      <c r="J121" s="5">
        <v>1</v>
      </c>
      <c r="K121" s="4">
        <v>369.34811999999999</v>
      </c>
      <c r="L121" s="8">
        <v>0.89698900000000004</v>
      </c>
      <c r="M121" s="7">
        <v>0</v>
      </c>
      <c r="N121" s="21">
        <v>1</v>
      </c>
      <c r="O121" s="16"/>
      <c r="P121" s="17"/>
      <c r="Q121" s="7">
        <f t="shared" si="1"/>
        <v>73132.688442488041</v>
      </c>
    </row>
    <row r="122" spans="1:17" x14ac:dyDescent="0.35">
      <c r="A122" s="28"/>
      <c r="B122" s="29"/>
      <c r="C122" s="22" t="s">
        <v>236</v>
      </c>
      <c r="D122" s="16"/>
      <c r="E122" s="16"/>
      <c r="F122" s="17"/>
      <c r="G122" s="23" t="s">
        <v>237</v>
      </c>
      <c r="H122" s="16"/>
      <c r="I122" s="17"/>
      <c r="J122" s="9" t="s">
        <v>4</v>
      </c>
      <c r="K122" s="10">
        <f>SUM(K14:K121)</f>
        <v>13612.058764000001</v>
      </c>
      <c r="L122" s="9" t="s">
        <v>4</v>
      </c>
      <c r="M122" s="10">
        <f>SUM(M14:M121)</f>
        <v>862.67020000000002</v>
      </c>
      <c r="N122" s="22" t="s">
        <v>4</v>
      </c>
      <c r="O122" s="16"/>
      <c r="P122" s="17"/>
      <c r="Q122" s="10">
        <f>SUM(Q14:Q121)</f>
        <v>9866125.91142378</v>
      </c>
    </row>
    <row r="123" spans="1:17" x14ac:dyDescent="0.35">
      <c r="A123" s="18" t="s">
        <v>238</v>
      </c>
      <c r="B123" s="25"/>
      <c r="C123" s="18" t="s">
        <v>239</v>
      </c>
      <c r="D123" s="16"/>
      <c r="E123" s="17"/>
      <c r="F123" s="3" t="s">
        <v>240</v>
      </c>
      <c r="G123" s="3" t="s">
        <v>21</v>
      </c>
      <c r="H123" s="4">
        <v>1</v>
      </c>
      <c r="I123" s="4">
        <v>160.876115</v>
      </c>
      <c r="J123" s="5">
        <v>1</v>
      </c>
      <c r="K123" s="4">
        <v>25457.715898999999</v>
      </c>
      <c r="L123" s="8">
        <v>0.67550600000000005</v>
      </c>
      <c r="M123" s="7">
        <v>0</v>
      </c>
      <c r="N123" s="21">
        <v>1</v>
      </c>
      <c r="O123" s="16"/>
      <c r="P123" s="17"/>
      <c r="Q123" s="7">
        <f t="shared" si="1"/>
        <v>4095538.4306048523</v>
      </c>
    </row>
    <row r="124" spans="1:17" x14ac:dyDescent="0.35">
      <c r="A124" s="26"/>
      <c r="B124" s="27"/>
      <c r="C124" s="18" t="s">
        <v>241</v>
      </c>
      <c r="D124" s="16"/>
      <c r="E124" s="17"/>
      <c r="F124" s="3" t="s">
        <v>242</v>
      </c>
      <c r="G124" s="3" t="s">
        <v>21</v>
      </c>
      <c r="H124" s="4">
        <v>1</v>
      </c>
      <c r="I124" s="4">
        <v>160.876115</v>
      </c>
      <c r="J124" s="5">
        <v>1</v>
      </c>
      <c r="K124" s="4">
        <v>0</v>
      </c>
      <c r="L124" s="6">
        <v>0.97576700000000005</v>
      </c>
      <c r="M124" s="7">
        <v>0</v>
      </c>
      <c r="N124" s="21">
        <v>1</v>
      </c>
      <c r="O124" s="16"/>
      <c r="P124" s="17"/>
      <c r="Q124" s="7">
        <f t="shared" si="1"/>
        <v>0</v>
      </c>
    </row>
    <row r="125" spans="1:17" x14ac:dyDescent="0.35">
      <c r="A125" s="26"/>
      <c r="B125" s="27"/>
      <c r="C125" s="18" t="s">
        <v>243</v>
      </c>
      <c r="D125" s="16"/>
      <c r="E125" s="17"/>
      <c r="F125" s="3" t="s">
        <v>244</v>
      </c>
      <c r="G125" s="3" t="s">
        <v>21</v>
      </c>
      <c r="H125" s="4">
        <v>1</v>
      </c>
      <c r="I125" s="4">
        <v>160.876115</v>
      </c>
      <c r="J125" s="5">
        <v>1</v>
      </c>
      <c r="K125" s="4">
        <v>52.827254000000003</v>
      </c>
      <c r="L125" s="6">
        <v>0.99011300000000002</v>
      </c>
      <c r="M125" s="7">
        <v>0</v>
      </c>
      <c r="N125" s="21">
        <v>1</v>
      </c>
      <c r="O125" s="16"/>
      <c r="P125" s="17"/>
      <c r="Q125" s="7">
        <f t="shared" si="1"/>
        <v>8498.6433896382114</v>
      </c>
    </row>
    <row r="126" spans="1:17" x14ac:dyDescent="0.35">
      <c r="A126" s="26"/>
      <c r="B126" s="27"/>
      <c r="C126" s="18" t="s">
        <v>245</v>
      </c>
      <c r="D126" s="16"/>
      <c r="E126" s="17"/>
      <c r="F126" s="3" t="s">
        <v>246</v>
      </c>
      <c r="G126" s="3" t="s">
        <v>21</v>
      </c>
      <c r="H126" s="4">
        <v>1</v>
      </c>
      <c r="I126" s="4">
        <v>160.876115</v>
      </c>
      <c r="J126" s="5">
        <v>1</v>
      </c>
      <c r="K126" s="4">
        <v>1471.224584</v>
      </c>
      <c r="L126" s="6">
        <v>0.93930400000000003</v>
      </c>
      <c r="M126" s="7">
        <v>0</v>
      </c>
      <c r="N126" s="21">
        <v>1</v>
      </c>
      <c r="O126" s="16"/>
      <c r="P126" s="17"/>
      <c r="Q126" s="7">
        <f t="shared" si="1"/>
        <v>236684.89536641116</v>
      </c>
    </row>
    <row r="127" spans="1:17" x14ac:dyDescent="0.35">
      <c r="A127" s="26"/>
      <c r="B127" s="27"/>
      <c r="C127" s="18" t="s">
        <v>247</v>
      </c>
      <c r="D127" s="16"/>
      <c r="E127" s="17"/>
      <c r="F127" s="3" t="s">
        <v>248</v>
      </c>
      <c r="G127" s="3" t="s">
        <v>21</v>
      </c>
      <c r="H127" s="4">
        <v>1</v>
      </c>
      <c r="I127" s="4">
        <v>160.876115</v>
      </c>
      <c r="J127" s="5">
        <v>1</v>
      </c>
      <c r="K127" s="4">
        <v>0</v>
      </c>
      <c r="L127" s="6">
        <v>0.98039699999999996</v>
      </c>
      <c r="M127" s="7">
        <v>0</v>
      </c>
      <c r="N127" s="21">
        <v>0.99457799999999996</v>
      </c>
      <c r="O127" s="16"/>
      <c r="P127" s="17"/>
      <c r="Q127" s="7">
        <f t="shared" si="1"/>
        <v>0</v>
      </c>
    </row>
    <row r="128" spans="1:17" x14ac:dyDescent="0.35">
      <c r="A128" s="26"/>
      <c r="B128" s="27"/>
      <c r="C128" s="18" t="s">
        <v>249</v>
      </c>
      <c r="D128" s="16"/>
      <c r="E128" s="17"/>
      <c r="F128" s="3" t="s">
        <v>250</v>
      </c>
      <c r="G128" s="3" t="s">
        <v>21</v>
      </c>
      <c r="H128" s="4">
        <v>1</v>
      </c>
      <c r="I128" s="4">
        <v>160.876115</v>
      </c>
      <c r="J128" s="5">
        <v>1</v>
      </c>
      <c r="K128" s="4">
        <v>0</v>
      </c>
      <c r="L128" s="6">
        <v>0.99662399999999995</v>
      </c>
      <c r="M128" s="7">
        <v>0</v>
      </c>
      <c r="N128" s="21">
        <v>0.999996</v>
      </c>
      <c r="O128" s="16"/>
      <c r="P128" s="17"/>
      <c r="Q128" s="7">
        <f t="shared" si="1"/>
        <v>0</v>
      </c>
    </row>
    <row r="129" spans="1:17" x14ac:dyDescent="0.35">
      <c r="A129" s="26"/>
      <c r="B129" s="27"/>
      <c r="C129" s="18" t="s">
        <v>251</v>
      </c>
      <c r="D129" s="16"/>
      <c r="E129" s="17"/>
      <c r="F129" s="3" t="s">
        <v>252</v>
      </c>
      <c r="G129" s="3" t="s">
        <v>21</v>
      </c>
      <c r="H129" s="4">
        <v>1</v>
      </c>
      <c r="I129" s="4">
        <v>160.876115</v>
      </c>
      <c r="J129" s="5">
        <v>1</v>
      </c>
      <c r="K129" s="4">
        <v>0</v>
      </c>
      <c r="L129" s="6">
        <v>0.99932799999999999</v>
      </c>
      <c r="M129" s="7">
        <v>0</v>
      </c>
      <c r="N129" s="21">
        <v>0.99839999999999995</v>
      </c>
      <c r="O129" s="16"/>
      <c r="P129" s="17"/>
      <c r="Q129" s="7">
        <f t="shared" si="1"/>
        <v>0</v>
      </c>
    </row>
    <row r="130" spans="1:17" x14ac:dyDescent="0.35">
      <c r="A130" s="26"/>
      <c r="B130" s="27"/>
      <c r="C130" s="18" t="s">
        <v>253</v>
      </c>
      <c r="D130" s="16"/>
      <c r="E130" s="17"/>
      <c r="F130" s="3" t="s">
        <v>254</v>
      </c>
      <c r="G130" s="3" t="s">
        <v>21</v>
      </c>
      <c r="H130" s="4">
        <v>1</v>
      </c>
      <c r="I130" s="4">
        <v>160.876115</v>
      </c>
      <c r="J130" s="5">
        <v>1</v>
      </c>
      <c r="K130" s="4">
        <v>61.992871999999998</v>
      </c>
      <c r="L130" s="6">
        <v>0.91984299999999997</v>
      </c>
      <c r="M130" s="7">
        <v>0</v>
      </c>
      <c r="N130" s="21">
        <v>1</v>
      </c>
      <c r="O130" s="16"/>
      <c r="P130" s="17"/>
      <c r="Q130" s="7">
        <f t="shared" si="1"/>
        <v>9973.1724050522789</v>
      </c>
    </row>
    <row r="131" spans="1:17" x14ac:dyDescent="0.35">
      <c r="A131" s="26"/>
      <c r="B131" s="27"/>
      <c r="C131" s="18" t="s">
        <v>255</v>
      </c>
      <c r="D131" s="16"/>
      <c r="E131" s="17"/>
      <c r="F131" s="3" t="s">
        <v>256</v>
      </c>
      <c r="G131" s="3" t="s">
        <v>21</v>
      </c>
      <c r="H131" s="4">
        <v>1</v>
      </c>
      <c r="I131" s="4">
        <v>160.876115</v>
      </c>
      <c r="J131" s="5">
        <v>1</v>
      </c>
      <c r="K131" s="4">
        <v>454.07978800000001</v>
      </c>
      <c r="L131" s="6">
        <v>0.97757799999999995</v>
      </c>
      <c r="M131" s="7">
        <v>0</v>
      </c>
      <c r="N131" s="21">
        <v>1</v>
      </c>
      <c r="O131" s="16"/>
      <c r="P131" s="17"/>
      <c r="Q131" s="7">
        <f t="shared" si="1"/>
        <v>73050.592193463614</v>
      </c>
    </row>
    <row r="132" spans="1:17" x14ac:dyDescent="0.35">
      <c r="A132" s="26"/>
      <c r="B132" s="27"/>
      <c r="C132" s="18" t="s">
        <v>257</v>
      </c>
      <c r="D132" s="16"/>
      <c r="E132" s="17"/>
      <c r="F132" s="3" t="s">
        <v>258</v>
      </c>
      <c r="G132" s="3" t="s">
        <v>21</v>
      </c>
      <c r="H132" s="4">
        <v>1</v>
      </c>
      <c r="I132" s="4">
        <v>160.876115</v>
      </c>
      <c r="J132" s="5">
        <v>1</v>
      </c>
      <c r="K132" s="4">
        <v>0</v>
      </c>
      <c r="L132" s="6">
        <v>0.92129700000000003</v>
      </c>
      <c r="M132" s="7">
        <v>0</v>
      </c>
      <c r="N132" s="21">
        <v>1</v>
      </c>
      <c r="O132" s="16"/>
      <c r="P132" s="17"/>
      <c r="Q132" s="7">
        <f t="shared" si="1"/>
        <v>0</v>
      </c>
    </row>
    <row r="133" spans="1:17" x14ac:dyDescent="0.35">
      <c r="A133" s="26"/>
      <c r="B133" s="27"/>
      <c r="C133" s="18" t="s">
        <v>259</v>
      </c>
      <c r="D133" s="16"/>
      <c r="E133" s="17"/>
      <c r="F133" s="3" t="s">
        <v>260</v>
      </c>
      <c r="G133" s="3" t="s">
        <v>21</v>
      </c>
      <c r="H133" s="4">
        <v>1</v>
      </c>
      <c r="I133" s="4">
        <v>160.876115</v>
      </c>
      <c r="J133" s="5">
        <v>1</v>
      </c>
      <c r="K133" s="4">
        <v>0</v>
      </c>
      <c r="L133" s="6">
        <v>0.958009</v>
      </c>
      <c r="M133" s="7">
        <v>0</v>
      </c>
      <c r="N133" s="21">
        <v>1</v>
      </c>
      <c r="O133" s="16"/>
      <c r="P133" s="17"/>
      <c r="Q133" s="7">
        <f t="shared" si="1"/>
        <v>0</v>
      </c>
    </row>
    <row r="134" spans="1:17" x14ac:dyDescent="0.35">
      <c r="A134" s="26"/>
      <c r="B134" s="27"/>
      <c r="C134" s="18" t="s">
        <v>261</v>
      </c>
      <c r="D134" s="16"/>
      <c r="E134" s="17"/>
      <c r="F134" s="3" t="s">
        <v>262</v>
      </c>
      <c r="G134" s="3" t="s">
        <v>21</v>
      </c>
      <c r="H134" s="4">
        <v>1</v>
      </c>
      <c r="I134" s="4">
        <v>160.876115</v>
      </c>
      <c r="J134" s="5">
        <v>1</v>
      </c>
      <c r="K134" s="4">
        <v>90.764612999999997</v>
      </c>
      <c r="L134" s="6">
        <v>0.93377900000000003</v>
      </c>
      <c r="M134" s="7">
        <v>0</v>
      </c>
      <c r="N134" s="21">
        <v>1</v>
      </c>
      <c r="O134" s="16"/>
      <c r="P134" s="17"/>
      <c r="Q134" s="7">
        <f t="shared" si="1"/>
        <v>14601.858318918494</v>
      </c>
    </row>
    <row r="135" spans="1:17" x14ac:dyDescent="0.35">
      <c r="A135" s="26"/>
      <c r="B135" s="27"/>
      <c r="C135" s="18" t="s">
        <v>263</v>
      </c>
      <c r="D135" s="16"/>
      <c r="E135" s="17"/>
      <c r="F135" s="3" t="s">
        <v>264</v>
      </c>
      <c r="G135" s="3" t="s">
        <v>21</v>
      </c>
      <c r="H135" s="4">
        <v>1</v>
      </c>
      <c r="I135" s="4">
        <v>160.876115</v>
      </c>
      <c r="J135" s="5">
        <v>12</v>
      </c>
      <c r="K135" s="4">
        <v>607.63335700000005</v>
      </c>
      <c r="L135" s="6">
        <v>0.92559000000000002</v>
      </c>
      <c r="M135" s="7">
        <v>0</v>
      </c>
      <c r="N135" s="21">
        <v>1</v>
      </c>
      <c r="O135" s="16"/>
      <c r="P135" s="17"/>
      <c r="Q135" s="7">
        <f t="shared" si="1"/>
        <v>1173044.3258228167</v>
      </c>
    </row>
    <row r="136" spans="1:17" x14ac:dyDescent="0.35">
      <c r="A136" s="26"/>
      <c r="B136" s="27"/>
      <c r="C136" s="18" t="s">
        <v>265</v>
      </c>
      <c r="D136" s="16"/>
      <c r="E136" s="17"/>
      <c r="F136" s="3" t="s">
        <v>266</v>
      </c>
      <c r="G136" s="3" t="s">
        <v>21</v>
      </c>
      <c r="H136" s="4">
        <v>1</v>
      </c>
      <c r="I136" s="4">
        <v>160.876115</v>
      </c>
      <c r="J136" s="5">
        <v>1</v>
      </c>
      <c r="K136" s="4">
        <v>588.52951099999996</v>
      </c>
      <c r="L136" s="6">
        <v>0.91407499999999997</v>
      </c>
      <c r="M136" s="7">
        <v>0</v>
      </c>
      <c r="N136" s="21">
        <v>1</v>
      </c>
      <c r="O136" s="16"/>
      <c r="P136" s="17"/>
      <c r="Q136" s="7">
        <f t="shared" si="1"/>
        <v>94680.34129252976</v>
      </c>
    </row>
    <row r="137" spans="1:17" x14ac:dyDescent="0.35">
      <c r="A137" s="26"/>
      <c r="B137" s="27"/>
      <c r="C137" s="18" t="s">
        <v>267</v>
      </c>
      <c r="D137" s="16"/>
      <c r="E137" s="17"/>
      <c r="F137" s="3" t="s">
        <v>268</v>
      </c>
      <c r="G137" s="3" t="s">
        <v>21</v>
      </c>
      <c r="H137" s="4">
        <v>1</v>
      </c>
      <c r="I137" s="4">
        <v>160.876115</v>
      </c>
      <c r="J137" s="5">
        <v>1</v>
      </c>
      <c r="K137" s="4">
        <v>0</v>
      </c>
      <c r="L137" s="6">
        <v>0.95200200000000001</v>
      </c>
      <c r="M137" s="7">
        <v>0</v>
      </c>
      <c r="N137" s="21">
        <v>1</v>
      </c>
      <c r="O137" s="16"/>
      <c r="P137" s="17"/>
      <c r="Q137" s="7">
        <f t="shared" si="1"/>
        <v>0</v>
      </c>
    </row>
    <row r="138" spans="1:17" x14ac:dyDescent="0.35">
      <c r="A138" s="26"/>
      <c r="B138" s="27"/>
      <c r="C138" s="18" t="s">
        <v>269</v>
      </c>
      <c r="D138" s="16"/>
      <c r="E138" s="17"/>
      <c r="F138" s="3" t="s">
        <v>270</v>
      </c>
      <c r="G138" s="3" t="s">
        <v>21</v>
      </c>
      <c r="H138" s="4">
        <v>1</v>
      </c>
      <c r="I138" s="4">
        <v>160.876115</v>
      </c>
      <c r="J138" s="5">
        <v>1</v>
      </c>
      <c r="K138" s="4">
        <v>2480.7035780000001</v>
      </c>
      <c r="L138" s="8">
        <v>0.89995199999999997</v>
      </c>
      <c r="M138" s="7">
        <v>0</v>
      </c>
      <c r="N138" s="21">
        <v>1</v>
      </c>
      <c r="O138" s="16"/>
      <c r="P138" s="17"/>
      <c r="Q138" s="7">
        <f t="shared" si="1"/>
        <v>399085.95409523946</v>
      </c>
    </row>
    <row r="139" spans="1:17" x14ac:dyDescent="0.35">
      <c r="A139" s="26"/>
      <c r="B139" s="27"/>
      <c r="C139" s="18" t="s">
        <v>271</v>
      </c>
      <c r="D139" s="16"/>
      <c r="E139" s="17"/>
      <c r="F139" s="3" t="s">
        <v>272</v>
      </c>
      <c r="G139" s="3" t="s">
        <v>21</v>
      </c>
      <c r="H139" s="4">
        <v>1</v>
      </c>
      <c r="I139" s="4">
        <v>160.876115</v>
      </c>
      <c r="J139" s="5">
        <v>1</v>
      </c>
      <c r="K139" s="4">
        <v>2381.5579170000001</v>
      </c>
      <c r="L139" s="6">
        <v>0.90232500000000004</v>
      </c>
      <c r="M139" s="7">
        <v>8439.09</v>
      </c>
      <c r="N139" s="24">
        <v>0.61697299999999999</v>
      </c>
      <c r="O139" s="16"/>
      <c r="P139" s="17"/>
      <c r="Q139" s="7">
        <f t="shared" si="1"/>
        <v>1740783.7986698025</v>
      </c>
    </row>
    <row r="140" spans="1:17" x14ac:dyDescent="0.35">
      <c r="A140" s="26"/>
      <c r="B140" s="27"/>
      <c r="C140" s="18" t="s">
        <v>273</v>
      </c>
      <c r="D140" s="16"/>
      <c r="E140" s="17"/>
      <c r="F140" s="3" t="s">
        <v>274</v>
      </c>
      <c r="G140" s="3" t="s">
        <v>21</v>
      </c>
      <c r="H140" s="4">
        <v>1</v>
      </c>
      <c r="I140" s="4">
        <v>160.876115</v>
      </c>
      <c r="J140" s="5">
        <v>1</v>
      </c>
      <c r="K140" s="4">
        <v>0</v>
      </c>
      <c r="L140" s="6">
        <v>0.97392100000000004</v>
      </c>
      <c r="M140" s="7">
        <v>0</v>
      </c>
      <c r="N140" s="21">
        <v>1</v>
      </c>
      <c r="O140" s="16"/>
      <c r="P140" s="17"/>
      <c r="Q140" s="7">
        <f t="shared" si="1"/>
        <v>0</v>
      </c>
    </row>
    <row r="141" spans="1:17" x14ac:dyDescent="0.35">
      <c r="A141" s="26"/>
      <c r="B141" s="27"/>
      <c r="C141" s="18" t="s">
        <v>275</v>
      </c>
      <c r="D141" s="16"/>
      <c r="E141" s="17"/>
      <c r="F141" s="3" t="s">
        <v>276</v>
      </c>
      <c r="G141" s="3" t="s">
        <v>21</v>
      </c>
      <c r="H141" s="4">
        <v>1</v>
      </c>
      <c r="I141" s="4">
        <v>160.876115</v>
      </c>
      <c r="J141" s="5">
        <v>1</v>
      </c>
      <c r="K141" s="4">
        <v>0</v>
      </c>
      <c r="L141" s="6">
        <v>0.99998699999999996</v>
      </c>
      <c r="M141" s="7">
        <v>0</v>
      </c>
      <c r="N141" s="21">
        <v>0.99993100000000001</v>
      </c>
      <c r="O141" s="16"/>
      <c r="P141" s="17"/>
      <c r="Q141" s="7">
        <f t="shared" si="1"/>
        <v>0</v>
      </c>
    </row>
    <row r="142" spans="1:17" x14ac:dyDescent="0.35">
      <c r="A142" s="26"/>
      <c r="B142" s="27"/>
      <c r="C142" s="18" t="s">
        <v>277</v>
      </c>
      <c r="D142" s="16"/>
      <c r="E142" s="17"/>
      <c r="F142" s="3" t="s">
        <v>278</v>
      </c>
      <c r="G142" s="3" t="s">
        <v>21</v>
      </c>
      <c r="H142" s="4">
        <v>1</v>
      </c>
      <c r="I142" s="4">
        <v>160.876115</v>
      </c>
      <c r="J142" s="5">
        <v>1</v>
      </c>
      <c r="K142" s="4">
        <v>0</v>
      </c>
      <c r="L142" s="6">
        <v>0.99767399999999995</v>
      </c>
      <c r="M142" s="7">
        <v>0</v>
      </c>
      <c r="N142" s="21">
        <v>0.99994300000000003</v>
      </c>
      <c r="O142" s="16"/>
      <c r="P142" s="17"/>
      <c r="Q142" s="7">
        <f t="shared" si="1"/>
        <v>0</v>
      </c>
    </row>
    <row r="143" spans="1:17" x14ac:dyDescent="0.35">
      <c r="A143" s="26"/>
      <c r="B143" s="27"/>
      <c r="C143" s="18" t="s">
        <v>279</v>
      </c>
      <c r="D143" s="16"/>
      <c r="E143" s="17"/>
      <c r="F143" s="3" t="s">
        <v>280</v>
      </c>
      <c r="G143" s="3" t="s">
        <v>21</v>
      </c>
      <c r="H143" s="4">
        <v>1</v>
      </c>
      <c r="I143" s="4">
        <v>160.876115</v>
      </c>
      <c r="J143" s="5">
        <v>1</v>
      </c>
      <c r="K143" s="4">
        <v>8.5795150000000007</v>
      </c>
      <c r="L143" s="6">
        <v>0.99038099999999996</v>
      </c>
      <c r="M143" s="7">
        <v>0</v>
      </c>
      <c r="N143" s="21">
        <v>1</v>
      </c>
      <c r="O143" s="16"/>
      <c r="P143" s="17"/>
      <c r="Q143" s="7">
        <f t="shared" ref="Q143:Q147" si="2">((M143+K143)*J143)*I143</f>
        <v>1380.239041784225</v>
      </c>
    </row>
    <row r="144" spans="1:17" x14ac:dyDescent="0.35">
      <c r="A144" s="26"/>
      <c r="B144" s="27"/>
      <c r="C144" s="18" t="s">
        <v>281</v>
      </c>
      <c r="D144" s="16"/>
      <c r="E144" s="17"/>
      <c r="F144" s="3" t="s">
        <v>282</v>
      </c>
      <c r="G144" s="3" t="s">
        <v>21</v>
      </c>
      <c r="H144" s="4">
        <v>1</v>
      </c>
      <c r="I144" s="4">
        <v>160.876115</v>
      </c>
      <c r="J144" s="5">
        <v>1</v>
      </c>
      <c r="K144" s="4">
        <v>18.201364000000002</v>
      </c>
      <c r="L144" s="6">
        <v>0.94989299999999999</v>
      </c>
      <c r="M144" s="7">
        <v>0</v>
      </c>
      <c r="N144" s="21">
        <v>1</v>
      </c>
      <c r="O144" s="16"/>
      <c r="P144" s="17"/>
      <c r="Q144" s="7">
        <f t="shared" si="2"/>
        <v>2928.1647280208604</v>
      </c>
    </row>
    <row r="145" spans="1:17" x14ac:dyDescent="0.35">
      <c r="A145" s="26"/>
      <c r="B145" s="27"/>
      <c r="C145" s="18" t="s">
        <v>283</v>
      </c>
      <c r="D145" s="16"/>
      <c r="E145" s="17"/>
      <c r="F145" s="3" t="s">
        <v>284</v>
      </c>
      <c r="G145" s="3" t="s">
        <v>21</v>
      </c>
      <c r="H145" s="4">
        <v>1</v>
      </c>
      <c r="I145" s="4">
        <v>160.876115</v>
      </c>
      <c r="J145" s="5">
        <v>1</v>
      </c>
      <c r="K145" s="4">
        <v>0</v>
      </c>
      <c r="L145" s="6">
        <v>0.990838</v>
      </c>
      <c r="M145" s="7">
        <v>0</v>
      </c>
      <c r="N145" s="21">
        <v>0.99594899999999997</v>
      </c>
      <c r="O145" s="16"/>
      <c r="P145" s="17"/>
      <c r="Q145" s="7">
        <f t="shared" si="2"/>
        <v>0</v>
      </c>
    </row>
    <row r="146" spans="1:17" x14ac:dyDescent="0.35">
      <c r="A146" s="26"/>
      <c r="B146" s="27"/>
      <c r="C146" s="18" t="s">
        <v>285</v>
      </c>
      <c r="D146" s="16"/>
      <c r="E146" s="17"/>
      <c r="F146" s="3" t="s">
        <v>286</v>
      </c>
      <c r="G146" s="3" t="s">
        <v>21</v>
      </c>
      <c r="H146" s="4">
        <v>1</v>
      </c>
      <c r="I146" s="4">
        <v>160.876115</v>
      </c>
      <c r="J146" s="5">
        <v>12</v>
      </c>
      <c r="K146" s="4">
        <v>173.31332699999999</v>
      </c>
      <c r="L146" s="6">
        <v>0.97175100000000003</v>
      </c>
      <c r="M146" s="7">
        <v>0</v>
      </c>
      <c r="N146" s="21">
        <v>0.97533599999999998</v>
      </c>
      <c r="O146" s="16"/>
      <c r="P146" s="17"/>
      <c r="Q146" s="7">
        <f t="shared" si="2"/>
        <v>334583.69670581527</v>
      </c>
    </row>
    <row r="147" spans="1:17" x14ac:dyDescent="0.35">
      <c r="A147" s="26"/>
      <c r="B147" s="27"/>
      <c r="C147" s="18" t="s">
        <v>287</v>
      </c>
      <c r="D147" s="16"/>
      <c r="E147" s="17"/>
      <c r="F147" s="3" t="s">
        <v>288</v>
      </c>
      <c r="G147" s="3" t="s">
        <v>21</v>
      </c>
      <c r="H147" s="4">
        <v>1</v>
      </c>
      <c r="I147" s="4">
        <v>160.876115</v>
      </c>
      <c r="J147" s="5">
        <v>1</v>
      </c>
      <c r="K147" s="4">
        <v>10.900277000000001</v>
      </c>
      <c r="L147" s="6">
        <v>0.95345599999999997</v>
      </c>
      <c r="M147" s="7">
        <v>0</v>
      </c>
      <c r="N147" s="21">
        <v>1</v>
      </c>
      <c r="O147" s="16"/>
      <c r="P147" s="17"/>
      <c r="Q147" s="7">
        <f t="shared" si="2"/>
        <v>1753.5942161838552</v>
      </c>
    </row>
    <row r="148" spans="1:17" x14ac:dyDescent="0.35">
      <c r="A148" s="28"/>
      <c r="B148" s="29"/>
      <c r="C148" s="22" t="s">
        <v>236</v>
      </c>
      <c r="D148" s="16"/>
      <c r="E148" s="16"/>
      <c r="F148" s="17"/>
      <c r="G148" s="23" t="s">
        <v>289</v>
      </c>
      <c r="H148" s="16"/>
      <c r="I148" s="17"/>
      <c r="J148" s="9" t="s">
        <v>4</v>
      </c>
      <c r="K148" s="11">
        <v>33858.023856</v>
      </c>
      <c r="L148" s="9" t="s">
        <v>4</v>
      </c>
      <c r="M148" s="10">
        <v>8439.09</v>
      </c>
      <c r="N148" s="22" t="s">
        <v>4</v>
      </c>
      <c r="O148" s="16"/>
      <c r="P148" s="17"/>
      <c r="Q148" s="10">
        <f>SUM(Q123:Q147)</f>
        <v>8186587.7068505278</v>
      </c>
    </row>
    <row r="149" spans="1:17" x14ac:dyDescent="0.35">
      <c r="A149" s="15" t="s">
        <v>290</v>
      </c>
      <c r="B149" s="16"/>
      <c r="C149" s="16"/>
      <c r="D149" s="16"/>
      <c r="E149" s="16"/>
      <c r="F149" s="17"/>
      <c r="G149" s="18" t="s">
        <v>4</v>
      </c>
      <c r="H149" s="16"/>
      <c r="I149" s="17"/>
      <c r="J149" s="12" t="s">
        <v>4</v>
      </c>
      <c r="K149" s="13">
        <f>K148+K122</f>
        <v>47470.082620000001</v>
      </c>
      <c r="L149" s="12" t="s">
        <v>4</v>
      </c>
      <c r="M149" s="13">
        <f>M148+M122</f>
        <v>9301.7602000000006</v>
      </c>
      <c r="N149" s="15" t="s">
        <v>4</v>
      </c>
      <c r="O149" s="16"/>
      <c r="P149" s="17"/>
      <c r="Q149" s="13">
        <f>Q148+Q122</f>
        <v>18052713.618274309</v>
      </c>
    </row>
    <row r="150" spans="1:17" ht="0" hidden="1" customHeight="1" x14ac:dyDescent="0.35"/>
    <row r="151" spans="1:17" ht="0.65" customHeight="1" x14ac:dyDescent="0.35"/>
    <row r="152" spans="1:17" x14ac:dyDescent="0.35">
      <c r="A152" s="30" t="s">
        <v>4</v>
      </c>
      <c r="B152" s="17"/>
      <c r="C152" s="30" t="s">
        <v>4</v>
      </c>
      <c r="D152" s="16"/>
      <c r="E152" s="17"/>
      <c r="F152" s="2" t="s">
        <v>4</v>
      </c>
      <c r="G152" s="31" t="s">
        <v>291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7"/>
    </row>
    <row r="153" spans="1:17" ht="50" x14ac:dyDescent="0.35">
      <c r="A153" s="30" t="s">
        <v>6</v>
      </c>
      <c r="B153" s="17"/>
      <c r="C153" s="30" t="s">
        <v>7</v>
      </c>
      <c r="D153" s="16"/>
      <c r="E153" s="17"/>
      <c r="F153" s="2" t="s">
        <v>8</v>
      </c>
      <c r="G153" s="2" t="s">
        <v>9</v>
      </c>
      <c r="H153" s="2" t="s">
        <v>10</v>
      </c>
      <c r="I153" s="2" t="s">
        <v>11</v>
      </c>
      <c r="J153" s="2" t="s">
        <v>12</v>
      </c>
      <c r="K153" s="2" t="s">
        <v>292</v>
      </c>
      <c r="L153" s="2" t="s">
        <v>14</v>
      </c>
      <c r="M153" s="2" t="s">
        <v>293</v>
      </c>
      <c r="N153" s="30" t="s">
        <v>16</v>
      </c>
      <c r="O153" s="16"/>
      <c r="P153" s="17"/>
      <c r="Q153" s="2" t="s">
        <v>294</v>
      </c>
    </row>
    <row r="154" spans="1:17" x14ac:dyDescent="0.35">
      <c r="A154" s="18" t="s">
        <v>18</v>
      </c>
      <c r="B154" s="25"/>
      <c r="C154" s="18" t="s">
        <v>19</v>
      </c>
      <c r="D154" s="16"/>
      <c r="E154" s="17"/>
      <c r="F154" s="3" t="s">
        <v>20</v>
      </c>
      <c r="G154" s="3" t="s">
        <v>21</v>
      </c>
      <c r="H154" s="4">
        <v>1</v>
      </c>
      <c r="I154" s="4">
        <v>40.284008</v>
      </c>
      <c r="J154" s="5">
        <v>1</v>
      </c>
      <c r="K154" s="4">
        <v>28.911027000000001</v>
      </c>
      <c r="L154" s="6">
        <v>0.98340000000000005</v>
      </c>
      <c r="M154" s="7">
        <v>0</v>
      </c>
      <c r="N154" s="21">
        <v>0.99992999999999999</v>
      </c>
      <c r="O154" s="16"/>
      <c r="P154" s="17"/>
      <c r="Q154" s="7">
        <f>((M154+K154)*J154)*I154</f>
        <v>1164.6520429562161</v>
      </c>
    </row>
    <row r="155" spans="1:17" x14ac:dyDescent="0.35">
      <c r="A155" s="26"/>
      <c r="B155" s="27"/>
      <c r="C155" s="18" t="s">
        <v>22</v>
      </c>
      <c r="D155" s="16"/>
      <c r="E155" s="17"/>
      <c r="F155" s="3" t="s">
        <v>23</v>
      </c>
      <c r="G155" s="3" t="s">
        <v>21</v>
      </c>
      <c r="H155" s="4">
        <v>1</v>
      </c>
      <c r="I155" s="4">
        <v>40.284008</v>
      </c>
      <c r="J155" s="5">
        <v>1</v>
      </c>
      <c r="K155" s="4">
        <v>81.004777000000004</v>
      </c>
      <c r="L155" s="6">
        <v>0.97063900000000003</v>
      </c>
      <c r="M155" s="7">
        <v>0</v>
      </c>
      <c r="N155" s="21">
        <v>0.999448</v>
      </c>
      <c r="O155" s="16"/>
      <c r="P155" s="17"/>
      <c r="Q155" s="7">
        <f t="shared" ref="Q155:Q218" si="3">((M155+K155)*J155)*I155</f>
        <v>3263.1970847062162</v>
      </c>
    </row>
    <row r="156" spans="1:17" x14ac:dyDescent="0.35">
      <c r="A156" s="26"/>
      <c r="B156" s="27"/>
      <c r="C156" s="18" t="s">
        <v>24</v>
      </c>
      <c r="D156" s="16"/>
      <c r="E156" s="17"/>
      <c r="F156" s="3" t="s">
        <v>25</v>
      </c>
      <c r="G156" s="3" t="s">
        <v>21</v>
      </c>
      <c r="H156" s="4">
        <v>1</v>
      </c>
      <c r="I156" s="4">
        <v>40.284008</v>
      </c>
      <c r="J156" s="5">
        <v>1</v>
      </c>
      <c r="K156" s="4">
        <v>127.39642600000001</v>
      </c>
      <c r="L156" s="6">
        <v>0.99715799999999999</v>
      </c>
      <c r="M156" s="7">
        <v>0</v>
      </c>
      <c r="N156" s="21">
        <v>0.99517</v>
      </c>
      <c r="O156" s="16"/>
      <c r="P156" s="17"/>
      <c r="Q156" s="7">
        <f t="shared" si="3"/>
        <v>5132.0386441554083</v>
      </c>
    </row>
    <row r="157" spans="1:17" x14ac:dyDescent="0.35">
      <c r="A157" s="26"/>
      <c r="B157" s="27"/>
      <c r="C157" s="18" t="s">
        <v>26</v>
      </c>
      <c r="D157" s="16"/>
      <c r="E157" s="17"/>
      <c r="F157" s="3" t="s">
        <v>27</v>
      </c>
      <c r="G157" s="3" t="s">
        <v>21</v>
      </c>
      <c r="H157" s="4">
        <v>1</v>
      </c>
      <c r="I157" s="4">
        <v>40.284008</v>
      </c>
      <c r="J157" s="5">
        <v>1</v>
      </c>
      <c r="K157" s="4">
        <v>1.7047049999999999</v>
      </c>
      <c r="L157" s="6">
        <v>0.99244500000000002</v>
      </c>
      <c r="M157" s="7">
        <v>0</v>
      </c>
      <c r="N157" s="21">
        <v>0.99928399999999995</v>
      </c>
      <c r="O157" s="16"/>
      <c r="P157" s="17"/>
      <c r="Q157" s="7">
        <f t="shared" si="3"/>
        <v>68.67234985764</v>
      </c>
    </row>
    <row r="158" spans="1:17" x14ac:dyDescent="0.35">
      <c r="A158" s="26"/>
      <c r="B158" s="27"/>
      <c r="C158" s="18" t="s">
        <v>28</v>
      </c>
      <c r="D158" s="16"/>
      <c r="E158" s="17"/>
      <c r="F158" s="3" t="s">
        <v>29</v>
      </c>
      <c r="G158" s="3" t="s">
        <v>21</v>
      </c>
      <c r="H158" s="4">
        <v>1</v>
      </c>
      <c r="I158" s="4">
        <v>40.284008</v>
      </c>
      <c r="J158" s="5">
        <v>1</v>
      </c>
      <c r="K158" s="4">
        <v>360.73179299999998</v>
      </c>
      <c r="L158" s="8">
        <v>0.88905500000000004</v>
      </c>
      <c r="M158" s="7">
        <v>0</v>
      </c>
      <c r="N158" s="21">
        <v>0.99999800000000005</v>
      </c>
      <c r="O158" s="16"/>
      <c r="P158" s="17"/>
      <c r="Q158" s="7">
        <f t="shared" si="3"/>
        <v>14531.722435066344</v>
      </c>
    </row>
    <row r="159" spans="1:17" x14ac:dyDescent="0.35">
      <c r="A159" s="26"/>
      <c r="B159" s="27"/>
      <c r="C159" s="18" t="s">
        <v>30</v>
      </c>
      <c r="D159" s="16"/>
      <c r="E159" s="17"/>
      <c r="F159" s="3" t="s">
        <v>31</v>
      </c>
      <c r="G159" s="3" t="s">
        <v>21</v>
      </c>
      <c r="H159" s="4">
        <v>1</v>
      </c>
      <c r="I159" s="4">
        <v>40.284008</v>
      </c>
      <c r="J159" s="5">
        <v>1</v>
      </c>
      <c r="K159" s="4">
        <v>134.11080000000001</v>
      </c>
      <c r="L159" s="8"/>
      <c r="M159" s="7">
        <v>0</v>
      </c>
      <c r="N159" s="24"/>
      <c r="O159" s="16"/>
      <c r="P159" s="17"/>
      <c r="Q159" s="7">
        <f t="shared" si="3"/>
        <v>5402.5205400864006</v>
      </c>
    </row>
    <row r="160" spans="1:17" x14ac:dyDescent="0.35">
      <c r="A160" s="26"/>
      <c r="B160" s="27"/>
      <c r="C160" s="18" t="s">
        <v>32</v>
      </c>
      <c r="D160" s="16"/>
      <c r="E160" s="17"/>
      <c r="F160" s="3" t="s">
        <v>33</v>
      </c>
      <c r="G160" s="3" t="s">
        <v>21</v>
      </c>
      <c r="H160" s="4">
        <v>1</v>
      </c>
      <c r="I160" s="4">
        <v>40.284008</v>
      </c>
      <c r="J160" s="5">
        <v>1</v>
      </c>
      <c r="K160" s="4">
        <v>2.2290139999999998</v>
      </c>
      <c r="L160" s="6">
        <v>0.963808</v>
      </c>
      <c r="M160" s="7">
        <v>0</v>
      </c>
      <c r="N160" s="21">
        <v>0.99975199999999997</v>
      </c>
      <c r="O160" s="16"/>
      <c r="P160" s="17"/>
      <c r="Q160" s="7">
        <f t="shared" si="3"/>
        <v>89.793617808111989</v>
      </c>
    </row>
    <row r="161" spans="1:17" x14ac:dyDescent="0.35">
      <c r="A161" s="26"/>
      <c r="B161" s="27"/>
      <c r="C161" s="18" t="s">
        <v>34</v>
      </c>
      <c r="D161" s="16"/>
      <c r="E161" s="17"/>
      <c r="F161" s="3" t="s">
        <v>35</v>
      </c>
      <c r="G161" s="3" t="s">
        <v>21</v>
      </c>
      <c r="H161" s="4">
        <v>1</v>
      </c>
      <c r="I161" s="4">
        <v>40.284008</v>
      </c>
      <c r="J161" s="5">
        <v>1</v>
      </c>
      <c r="K161" s="4">
        <v>4.47858</v>
      </c>
      <c r="L161" s="6">
        <v>0.97228000000000003</v>
      </c>
      <c r="M161" s="7">
        <v>0</v>
      </c>
      <c r="N161" s="21">
        <v>0.99944900000000003</v>
      </c>
      <c r="O161" s="16"/>
      <c r="P161" s="17"/>
      <c r="Q161" s="7">
        <f t="shared" si="3"/>
        <v>180.41515254864001</v>
      </c>
    </row>
    <row r="162" spans="1:17" x14ac:dyDescent="0.35">
      <c r="A162" s="26"/>
      <c r="B162" s="27"/>
      <c r="C162" s="18" t="s">
        <v>36</v>
      </c>
      <c r="D162" s="16"/>
      <c r="E162" s="17"/>
      <c r="F162" s="3" t="s">
        <v>37</v>
      </c>
      <c r="G162" s="3" t="s">
        <v>21</v>
      </c>
      <c r="H162" s="4">
        <v>1</v>
      </c>
      <c r="I162" s="4">
        <v>40.284008</v>
      </c>
      <c r="J162" s="5">
        <v>1</v>
      </c>
      <c r="K162" s="4">
        <v>0</v>
      </c>
      <c r="L162" s="6">
        <v>0.98839600000000005</v>
      </c>
      <c r="M162" s="7">
        <v>0</v>
      </c>
      <c r="N162" s="21">
        <v>0.99815299999999996</v>
      </c>
      <c r="O162" s="16"/>
      <c r="P162" s="17"/>
      <c r="Q162" s="7">
        <f t="shared" si="3"/>
        <v>0</v>
      </c>
    </row>
    <row r="163" spans="1:17" x14ac:dyDescent="0.35">
      <c r="A163" s="26"/>
      <c r="B163" s="27"/>
      <c r="C163" s="18" t="s">
        <v>38</v>
      </c>
      <c r="D163" s="16"/>
      <c r="E163" s="17"/>
      <c r="F163" s="3" t="s">
        <v>39</v>
      </c>
      <c r="G163" s="3" t="s">
        <v>21</v>
      </c>
      <c r="H163" s="4">
        <v>1</v>
      </c>
      <c r="I163" s="4">
        <v>40.284008</v>
      </c>
      <c r="J163" s="5">
        <v>1</v>
      </c>
      <c r="K163" s="4">
        <v>0</v>
      </c>
      <c r="L163" s="6">
        <v>0.99373999999999996</v>
      </c>
      <c r="M163" s="7">
        <v>0</v>
      </c>
      <c r="N163" s="21">
        <v>0.99737200000000004</v>
      </c>
      <c r="O163" s="16"/>
      <c r="P163" s="17"/>
      <c r="Q163" s="7">
        <f t="shared" si="3"/>
        <v>0</v>
      </c>
    </row>
    <row r="164" spans="1:17" x14ac:dyDescent="0.35">
      <c r="A164" s="26"/>
      <c r="B164" s="27"/>
      <c r="C164" s="18" t="s">
        <v>40</v>
      </c>
      <c r="D164" s="16"/>
      <c r="E164" s="17"/>
      <c r="F164" s="3" t="s">
        <v>41</v>
      </c>
      <c r="G164" s="3" t="s">
        <v>21</v>
      </c>
      <c r="H164" s="4">
        <v>1</v>
      </c>
      <c r="I164" s="4">
        <v>40.284008</v>
      </c>
      <c r="J164" s="5">
        <v>1</v>
      </c>
      <c r="K164" s="4">
        <v>0</v>
      </c>
      <c r="L164" s="6">
        <v>0.98651999999999995</v>
      </c>
      <c r="M164" s="7">
        <v>0</v>
      </c>
      <c r="N164" s="21">
        <v>0.99183500000000002</v>
      </c>
      <c r="O164" s="16"/>
      <c r="P164" s="17"/>
      <c r="Q164" s="7">
        <f t="shared" si="3"/>
        <v>0</v>
      </c>
    </row>
    <row r="165" spans="1:17" x14ac:dyDescent="0.35">
      <c r="A165" s="26"/>
      <c r="B165" s="27"/>
      <c r="C165" s="18" t="s">
        <v>42</v>
      </c>
      <c r="D165" s="16"/>
      <c r="E165" s="17"/>
      <c r="F165" s="3" t="s">
        <v>43</v>
      </c>
      <c r="G165" s="3" t="s">
        <v>21</v>
      </c>
      <c r="H165" s="4">
        <v>1</v>
      </c>
      <c r="I165" s="4">
        <v>40.284008</v>
      </c>
      <c r="J165" s="5">
        <v>1</v>
      </c>
      <c r="K165" s="4">
        <v>260.03130599999997</v>
      </c>
      <c r="L165" s="6">
        <v>0.92730999999999997</v>
      </c>
      <c r="M165" s="7">
        <v>0</v>
      </c>
      <c r="N165" s="21">
        <v>0.99998900000000002</v>
      </c>
      <c r="O165" s="16"/>
      <c r="P165" s="17"/>
      <c r="Q165" s="7">
        <f t="shared" si="3"/>
        <v>10475.103211154446</v>
      </c>
    </row>
    <row r="166" spans="1:17" x14ac:dyDescent="0.35">
      <c r="A166" s="26"/>
      <c r="B166" s="27"/>
      <c r="C166" s="18" t="s">
        <v>44</v>
      </c>
      <c r="D166" s="16"/>
      <c r="E166" s="17"/>
      <c r="F166" s="3" t="s">
        <v>45</v>
      </c>
      <c r="G166" s="3" t="s">
        <v>21</v>
      </c>
      <c r="H166" s="4">
        <v>1</v>
      </c>
      <c r="I166" s="4">
        <v>40.284008</v>
      </c>
      <c r="J166" s="5">
        <v>1</v>
      </c>
      <c r="K166" s="4">
        <v>173.24604400000001</v>
      </c>
      <c r="L166" s="8">
        <v>0.89991699999999997</v>
      </c>
      <c r="M166" s="7">
        <v>0</v>
      </c>
      <c r="N166" s="21">
        <v>0.99999700000000002</v>
      </c>
      <c r="O166" s="16"/>
      <c r="P166" s="17"/>
      <c r="Q166" s="7">
        <f t="shared" si="3"/>
        <v>6979.0450224643528</v>
      </c>
    </row>
    <row r="167" spans="1:17" x14ac:dyDescent="0.35">
      <c r="A167" s="26"/>
      <c r="B167" s="27"/>
      <c r="C167" s="18" t="s">
        <v>46</v>
      </c>
      <c r="D167" s="16"/>
      <c r="E167" s="17"/>
      <c r="F167" s="3" t="s">
        <v>47</v>
      </c>
      <c r="G167" s="3" t="s">
        <v>21</v>
      </c>
      <c r="H167" s="4">
        <v>1</v>
      </c>
      <c r="I167" s="4">
        <v>40.284008</v>
      </c>
      <c r="J167" s="5">
        <v>1</v>
      </c>
      <c r="K167" s="4">
        <v>331.83249499999999</v>
      </c>
      <c r="L167" s="8">
        <v>0.88485800000000003</v>
      </c>
      <c r="M167" s="7">
        <v>0</v>
      </c>
      <c r="N167" s="21">
        <v>0.99936000000000003</v>
      </c>
      <c r="O167" s="16"/>
      <c r="P167" s="17"/>
      <c r="Q167" s="7">
        <f t="shared" si="3"/>
        <v>13367.542883239959</v>
      </c>
    </row>
    <row r="168" spans="1:17" x14ac:dyDescent="0.35">
      <c r="A168" s="26"/>
      <c r="B168" s="27"/>
      <c r="C168" s="18" t="s">
        <v>48</v>
      </c>
      <c r="D168" s="16"/>
      <c r="E168" s="17"/>
      <c r="F168" s="3" t="s">
        <v>49</v>
      </c>
      <c r="G168" s="3" t="s">
        <v>21</v>
      </c>
      <c r="H168" s="4">
        <v>1</v>
      </c>
      <c r="I168" s="4">
        <v>40.284008</v>
      </c>
      <c r="J168" s="5">
        <v>1</v>
      </c>
      <c r="K168" s="4">
        <v>0</v>
      </c>
      <c r="L168" s="6">
        <v>0.99559500000000001</v>
      </c>
      <c r="M168" s="7">
        <v>0</v>
      </c>
      <c r="N168" s="21">
        <v>0.98838700000000002</v>
      </c>
      <c r="O168" s="16"/>
      <c r="P168" s="17"/>
      <c r="Q168" s="7">
        <f t="shared" si="3"/>
        <v>0</v>
      </c>
    </row>
    <row r="169" spans="1:17" x14ac:dyDescent="0.35">
      <c r="A169" s="26"/>
      <c r="B169" s="27"/>
      <c r="C169" s="18" t="s">
        <v>50</v>
      </c>
      <c r="D169" s="16"/>
      <c r="E169" s="17"/>
      <c r="F169" s="3" t="s">
        <v>51</v>
      </c>
      <c r="G169" s="3" t="s">
        <v>21</v>
      </c>
      <c r="H169" s="4">
        <v>1</v>
      </c>
      <c r="I169" s="4">
        <v>40.284008</v>
      </c>
      <c r="J169" s="5">
        <v>1</v>
      </c>
      <c r="K169" s="4">
        <v>0</v>
      </c>
      <c r="L169" s="6">
        <v>0.99981100000000001</v>
      </c>
      <c r="M169" s="7">
        <v>0</v>
      </c>
      <c r="N169" s="21">
        <v>0.99980500000000005</v>
      </c>
      <c r="O169" s="16"/>
      <c r="P169" s="17"/>
      <c r="Q169" s="7">
        <f t="shared" si="3"/>
        <v>0</v>
      </c>
    </row>
    <row r="170" spans="1:17" x14ac:dyDescent="0.35">
      <c r="A170" s="26"/>
      <c r="B170" s="27"/>
      <c r="C170" s="18" t="s">
        <v>52</v>
      </c>
      <c r="D170" s="16"/>
      <c r="E170" s="17"/>
      <c r="F170" s="3" t="s">
        <v>53</v>
      </c>
      <c r="G170" s="3" t="s">
        <v>21</v>
      </c>
      <c r="H170" s="4">
        <v>1</v>
      </c>
      <c r="I170" s="4">
        <v>40.284008</v>
      </c>
      <c r="J170" s="5">
        <v>1</v>
      </c>
      <c r="K170" s="4">
        <v>0</v>
      </c>
      <c r="L170" s="6">
        <v>0.99487499999999995</v>
      </c>
      <c r="M170" s="7">
        <v>0</v>
      </c>
      <c r="N170" s="21">
        <v>0.98431599999999997</v>
      </c>
      <c r="O170" s="16"/>
      <c r="P170" s="17"/>
      <c r="Q170" s="7">
        <f t="shared" si="3"/>
        <v>0</v>
      </c>
    </row>
    <row r="171" spans="1:17" x14ac:dyDescent="0.35">
      <c r="A171" s="26"/>
      <c r="B171" s="27"/>
      <c r="C171" s="18" t="s">
        <v>54</v>
      </c>
      <c r="D171" s="16"/>
      <c r="E171" s="17"/>
      <c r="F171" s="3" t="s">
        <v>55</v>
      </c>
      <c r="G171" s="3" t="s">
        <v>21</v>
      </c>
      <c r="H171" s="4">
        <v>1</v>
      </c>
      <c r="I171" s="4">
        <v>40.284008</v>
      </c>
      <c r="J171" s="5">
        <v>1</v>
      </c>
      <c r="K171" s="4">
        <v>0</v>
      </c>
      <c r="L171" s="6">
        <v>0.96584300000000001</v>
      </c>
      <c r="M171" s="7">
        <v>0</v>
      </c>
      <c r="N171" s="21">
        <v>1</v>
      </c>
      <c r="O171" s="16"/>
      <c r="P171" s="17"/>
      <c r="Q171" s="7">
        <f t="shared" si="3"/>
        <v>0</v>
      </c>
    </row>
    <row r="172" spans="1:17" x14ac:dyDescent="0.35">
      <c r="A172" s="26"/>
      <c r="B172" s="27"/>
      <c r="C172" s="18" t="s">
        <v>56</v>
      </c>
      <c r="D172" s="16"/>
      <c r="E172" s="17"/>
      <c r="F172" s="3" t="s">
        <v>57</v>
      </c>
      <c r="G172" s="3" t="s">
        <v>21</v>
      </c>
      <c r="H172" s="4">
        <v>1</v>
      </c>
      <c r="I172" s="4">
        <v>40.284008</v>
      </c>
      <c r="J172" s="5">
        <v>1</v>
      </c>
      <c r="K172" s="4">
        <v>57.513579999999997</v>
      </c>
      <c r="L172" s="6">
        <v>0.99573999999999996</v>
      </c>
      <c r="M172" s="7">
        <v>0</v>
      </c>
      <c r="N172" s="21">
        <v>1</v>
      </c>
      <c r="O172" s="16"/>
      <c r="P172" s="17"/>
      <c r="Q172" s="7">
        <f t="shared" si="3"/>
        <v>2316.8775168286397</v>
      </c>
    </row>
    <row r="173" spans="1:17" x14ac:dyDescent="0.35">
      <c r="A173" s="26"/>
      <c r="B173" s="27"/>
      <c r="C173" s="18" t="s">
        <v>58</v>
      </c>
      <c r="D173" s="16"/>
      <c r="E173" s="17"/>
      <c r="F173" s="3" t="s">
        <v>59</v>
      </c>
      <c r="G173" s="3" t="s">
        <v>21</v>
      </c>
      <c r="H173" s="4">
        <v>1</v>
      </c>
      <c r="I173" s="4">
        <v>40.284008</v>
      </c>
      <c r="J173" s="5">
        <v>1</v>
      </c>
      <c r="K173" s="4">
        <v>49.092264</v>
      </c>
      <c r="L173" s="8">
        <v>0.89904600000000001</v>
      </c>
      <c r="M173" s="7">
        <v>0</v>
      </c>
      <c r="N173" s="21">
        <v>0.99529800000000002</v>
      </c>
      <c r="O173" s="16"/>
      <c r="P173" s="17"/>
      <c r="Q173" s="7">
        <f t="shared" si="3"/>
        <v>1977.633155714112</v>
      </c>
    </row>
    <row r="174" spans="1:17" x14ac:dyDescent="0.35">
      <c r="A174" s="26"/>
      <c r="B174" s="27"/>
      <c r="C174" s="18" t="s">
        <v>60</v>
      </c>
      <c r="D174" s="16"/>
      <c r="E174" s="17"/>
      <c r="F174" s="3" t="s">
        <v>61</v>
      </c>
      <c r="G174" s="3" t="s">
        <v>21</v>
      </c>
      <c r="H174" s="4">
        <v>1</v>
      </c>
      <c r="I174" s="4">
        <v>40.284008</v>
      </c>
      <c r="J174" s="5">
        <v>1</v>
      </c>
      <c r="K174" s="4">
        <v>376.85313100000002</v>
      </c>
      <c r="L174" s="8">
        <v>0.88196600000000003</v>
      </c>
      <c r="M174" s="7">
        <v>0</v>
      </c>
      <c r="N174" s="21">
        <v>0.99999099999999996</v>
      </c>
      <c r="O174" s="16"/>
      <c r="P174" s="17"/>
      <c r="Q174" s="7">
        <f t="shared" si="3"/>
        <v>15181.154544029048</v>
      </c>
    </row>
    <row r="175" spans="1:17" x14ac:dyDescent="0.35">
      <c r="A175" s="26"/>
      <c r="B175" s="27"/>
      <c r="C175" s="18" t="s">
        <v>62</v>
      </c>
      <c r="D175" s="16"/>
      <c r="E175" s="17"/>
      <c r="F175" s="3" t="s">
        <v>63</v>
      </c>
      <c r="G175" s="3" t="s">
        <v>21</v>
      </c>
      <c r="H175" s="4">
        <v>1</v>
      </c>
      <c r="I175" s="4">
        <v>40.284008</v>
      </c>
      <c r="J175" s="5">
        <v>1</v>
      </c>
      <c r="K175" s="4">
        <v>5.7630520000000001</v>
      </c>
      <c r="L175" s="6">
        <v>0.93245800000000001</v>
      </c>
      <c r="M175" s="7">
        <v>0</v>
      </c>
      <c r="N175" s="21">
        <v>0.99728799999999995</v>
      </c>
      <c r="O175" s="16"/>
      <c r="P175" s="17"/>
      <c r="Q175" s="7">
        <f t="shared" si="3"/>
        <v>232.15883287241601</v>
      </c>
    </row>
    <row r="176" spans="1:17" x14ac:dyDescent="0.35">
      <c r="A176" s="26"/>
      <c r="B176" s="27"/>
      <c r="C176" s="18" t="s">
        <v>64</v>
      </c>
      <c r="D176" s="16"/>
      <c r="E176" s="17"/>
      <c r="F176" s="3" t="s">
        <v>65</v>
      </c>
      <c r="G176" s="3" t="s">
        <v>21</v>
      </c>
      <c r="H176" s="4">
        <v>1</v>
      </c>
      <c r="I176" s="4">
        <v>40.284008</v>
      </c>
      <c r="J176" s="5">
        <v>12</v>
      </c>
      <c r="K176" s="4">
        <v>0</v>
      </c>
      <c r="L176" s="6">
        <v>1</v>
      </c>
      <c r="M176" s="7">
        <v>0</v>
      </c>
      <c r="N176" s="21">
        <v>1</v>
      </c>
      <c r="O176" s="16"/>
      <c r="P176" s="17"/>
      <c r="Q176" s="7">
        <f t="shared" si="3"/>
        <v>0</v>
      </c>
    </row>
    <row r="177" spans="1:17" x14ac:dyDescent="0.35">
      <c r="A177" s="26"/>
      <c r="B177" s="27"/>
      <c r="C177" s="18" t="s">
        <v>66</v>
      </c>
      <c r="D177" s="16"/>
      <c r="E177" s="17"/>
      <c r="F177" s="3" t="s">
        <v>67</v>
      </c>
      <c r="G177" s="3" t="s">
        <v>21</v>
      </c>
      <c r="H177" s="4">
        <v>1</v>
      </c>
      <c r="I177" s="4">
        <v>40.284008</v>
      </c>
      <c r="J177" s="5">
        <v>1</v>
      </c>
      <c r="K177" s="4">
        <v>0.35169499999999998</v>
      </c>
      <c r="L177" s="6">
        <v>0.993475</v>
      </c>
      <c r="M177" s="7">
        <v>0</v>
      </c>
      <c r="N177" s="21">
        <v>0.99519400000000002</v>
      </c>
      <c r="O177" s="16"/>
      <c r="P177" s="17"/>
      <c r="Q177" s="7">
        <f t="shared" si="3"/>
        <v>14.16768419356</v>
      </c>
    </row>
    <row r="178" spans="1:17" x14ac:dyDescent="0.35">
      <c r="A178" s="26"/>
      <c r="B178" s="27"/>
      <c r="C178" s="18" t="s">
        <v>68</v>
      </c>
      <c r="D178" s="16"/>
      <c r="E178" s="17"/>
      <c r="F178" s="3" t="s">
        <v>69</v>
      </c>
      <c r="G178" s="3" t="s">
        <v>21</v>
      </c>
      <c r="H178" s="4">
        <v>1</v>
      </c>
      <c r="I178" s="4">
        <v>40.284008</v>
      </c>
      <c r="J178" s="5">
        <v>3</v>
      </c>
      <c r="K178" s="4">
        <v>119.8052</v>
      </c>
      <c r="L178" s="6">
        <v>0.95815099999999997</v>
      </c>
      <c r="M178" s="7">
        <v>0</v>
      </c>
      <c r="N178" s="21">
        <v>1</v>
      </c>
      <c r="O178" s="16"/>
      <c r="P178" s="17"/>
      <c r="Q178" s="7">
        <f t="shared" si="3"/>
        <v>14478.7009057248</v>
      </c>
    </row>
    <row r="179" spans="1:17" x14ac:dyDescent="0.35">
      <c r="A179" s="26"/>
      <c r="B179" s="27"/>
      <c r="C179" s="18" t="s">
        <v>70</v>
      </c>
      <c r="D179" s="16"/>
      <c r="E179" s="17"/>
      <c r="F179" s="3" t="s">
        <v>71</v>
      </c>
      <c r="G179" s="3" t="s">
        <v>21</v>
      </c>
      <c r="H179" s="4">
        <v>1</v>
      </c>
      <c r="I179" s="4">
        <v>40.284008</v>
      </c>
      <c r="J179" s="5">
        <v>7</v>
      </c>
      <c r="K179" s="4">
        <v>209.77146200000001</v>
      </c>
      <c r="L179" s="6">
        <v>0.91317700000000002</v>
      </c>
      <c r="M179" s="7">
        <v>0</v>
      </c>
      <c r="N179" s="21">
        <v>1</v>
      </c>
      <c r="O179" s="16"/>
      <c r="P179" s="17"/>
      <c r="Q179" s="7">
        <f t="shared" si="3"/>
        <v>59153.046773657879</v>
      </c>
    </row>
    <row r="180" spans="1:17" x14ac:dyDescent="0.35">
      <c r="A180" s="26"/>
      <c r="B180" s="27"/>
      <c r="C180" s="18" t="s">
        <v>72</v>
      </c>
      <c r="D180" s="16"/>
      <c r="E180" s="17"/>
      <c r="F180" s="3" t="s">
        <v>73</v>
      </c>
      <c r="G180" s="3" t="s">
        <v>21</v>
      </c>
      <c r="H180" s="4">
        <v>1</v>
      </c>
      <c r="I180" s="4">
        <v>40.284008</v>
      </c>
      <c r="J180" s="5">
        <v>1</v>
      </c>
      <c r="K180" s="4">
        <v>9.4610000000000007E-3</v>
      </c>
      <c r="L180" s="6">
        <v>0.99025399999999997</v>
      </c>
      <c r="M180" s="7">
        <v>0</v>
      </c>
      <c r="N180" s="21">
        <v>0.99975499999999995</v>
      </c>
      <c r="O180" s="16"/>
      <c r="P180" s="17"/>
      <c r="Q180" s="7">
        <f t="shared" si="3"/>
        <v>0.38112699968800001</v>
      </c>
    </row>
    <row r="181" spans="1:17" x14ac:dyDescent="0.35">
      <c r="A181" s="26"/>
      <c r="B181" s="27"/>
      <c r="C181" s="18" t="s">
        <v>74</v>
      </c>
      <c r="D181" s="16"/>
      <c r="E181" s="17"/>
      <c r="F181" s="3" t="s">
        <v>75</v>
      </c>
      <c r="G181" s="3" t="s">
        <v>21</v>
      </c>
      <c r="H181" s="4">
        <v>1</v>
      </c>
      <c r="I181" s="4">
        <v>40.284008</v>
      </c>
      <c r="J181" s="5">
        <v>1</v>
      </c>
      <c r="K181" s="4">
        <v>0</v>
      </c>
      <c r="L181" s="6">
        <v>0.99759399999999998</v>
      </c>
      <c r="M181" s="7">
        <v>0</v>
      </c>
      <c r="N181" s="21">
        <v>0.997973</v>
      </c>
      <c r="O181" s="16"/>
      <c r="P181" s="17"/>
      <c r="Q181" s="7">
        <f t="shared" si="3"/>
        <v>0</v>
      </c>
    </row>
    <row r="182" spans="1:17" x14ac:dyDescent="0.35">
      <c r="A182" s="26"/>
      <c r="B182" s="27"/>
      <c r="C182" s="18" t="s">
        <v>76</v>
      </c>
      <c r="D182" s="16"/>
      <c r="E182" s="17"/>
      <c r="F182" s="3" t="s">
        <v>77</v>
      </c>
      <c r="G182" s="3" t="s">
        <v>21</v>
      </c>
      <c r="H182" s="4">
        <v>1</v>
      </c>
      <c r="I182" s="4">
        <v>40.284008</v>
      </c>
      <c r="J182" s="5">
        <v>1</v>
      </c>
      <c r="K182" s="4">
        <v>27.110921000000001</v>
      </c>
      <c r="L182" s="6">
        <v>0.97012399999999999</v>
      </c>
      <c r="M182" s="7">
        <v>0</v>
      </c>
      <c r="N182" s="21">
        <v>1</v>
      </c>
      <c r="O182" s="16"/>
      <c r="P182" s="17"/>
      <c r="Q182" s="7">
        <f t="shared" si="3"/>
        <v>1092.136558451368</v>
      </c>
    </row>
    <row r="183" spans="1:17" x14ac:dyDescent="0.35">
      <c r="A183" s="26"/>
      <c r="B183" s="27"/>
      <c r="C183" s="18" t="s">
        <v>78</v>
      </c>
      <c r="D183" s="16"/>
      <c r="E183" s="17"/>
      <c r="F183" s="3" t="s">
        <v>79</v>
      </c>
      <c r="G183" s="3" t="s">
        <v>21</v>
      </c>
      <c r="H183" s="4">
        <v>1</v>
      </c>
      <c r="I183" s="4">
        <v>40.284008</v>
      </c>
      <c r="J183" s="5">
        <v>1</v>
      </c>
      <c r="K183" s="4">
        <v>0</v>
      </c>
      <c r="L183" s="6">
        <v>0.98098600000000002</v>
      </c>
      <c r="M183" s="7">
        <v>0</v>
      </c>
      <c r="N183" s="21">
        <v>0.99973299999999998</v>
      </c>
      <c r="O183" s="16"/>
      <c r="P183" s="17"/>
      <c r="Q183" s="7">
        <f t="shared" si="3"/>
        <v>0</v>
      </c>
    </row>
    <row r="184" spans="1:17" x14ac:dyDescent="0.35">
      <c r="A184" s="26"/>
      <c r="B184" s="27"/>
      <c r="C184" s="18" t="s">
        <v>80</v>
      </c>
      <c r="D184" s="16"/>
      <c r="E184" s="17"/>
      <c r="F184" s="3" t="s">
        <v>81</v>
      </c>
      <c r="G184" s="3" t="s">
        <v>21</v>
      </c>
      <c r="H184" s="4">
        <v>1</v>
      </c>
      <c r="I184" s="4">
        <v>40.284008</v>
      </c>
      <c r="J184" s="5">
        <v>1</v>
      </c>
      <c r="K184" s="4">
        <v>186.59710699999999</v>
      </c>
      <c r="L184" s="8">
        <v>0.89779399999999998</v>
      </c>
      <c r="M184" s="7">
        <v>0</v>
      </c>
      <c r="N184" s="21">
        <v>0.99999099999999996</v>
      </c>
      <c r="O184" s="16"/>
      <c r="P184" s="17"/>
      <c r="Q184" s="7">
        <f t="shared" si="3"/>
        <v>7516.8793511648555</v>
      </c>
    </row>
    <row r="185" spans="1:17" x14ac:dyDescent="0.35">
      <c r="A185" s="26"/>
      <c r="B185" s="27"/>
      <c r="C185" s="18" t="s">
        <v>82</v>
      </c>
      <c r="D185" s="16"/>
      <c r="E185" s="17"/>
      <c r="F185" s="3" t="s">
        <v>83</v>
      </c>
      <c r="G185" s="3" t="s">
        <v>21</v>
      </c>
      <c r="H185" s="4">
        <v>1</v>
      </c>
      <c r="I185" s="4">
        <v>40.284008</v>
      </c>
      <c r="J185" s="5">
        <v>1</v>
      </c>
      <c r="K185" s="4">
        <v>0</v>
      </c>
      <c r="L185" s="6">
        <v>0.99982199999999999</v>
      </c>
      <c r="M185" s="7">
        <v>0</v>
      </c>
      <c r="N185" s="21">
        <v>0.98227399999999998</v>
      </c>
      <c r="O185" s="16"/>
      <c r="P185" s="17"/>
      <c r="Q185" s="7">
        <f t="shared" si="3"/>
        <v>0</v>
      </c>
    </row>
    <row r="186" spans="1:17" x14ac:dyDescent="0.35">
      <c r="A186" s="26"/>
      <c r="B186" s="27"/>
      <c r="C186" s="18" t="s">
        <v>84</v>
      </c>
      <c r="D186" s="16"/>
      <c r="E186" s="17"/>
      <c r="F186" s="3" t="s">
        <v>85</v>
      </c>
      <c r="G186" s="3" t="s">
        <v>21</v>
      </c>
      <c r="H186" s="4">
        <v>1</v>
      </c>
      <c r="I186" s="4">
        <v>40.284008</v>
      </c>
      <c r="J186" s="5">
        <v>1</v>
      </c>
      <c r="K186" s="4">
        <v>0</v>
      </c>
      <c r="L186" s="6">
        <v>0.99841400000000002</v>
      </c>
      <c r="M186" s="7">
        <v>0</v>
      </c>
      <c r="N186" s="21">
        <v>0.99998799999999999</v>
      </c>
      <c r="O186" s="16"/>
      <c r="P186" s="17"/>
      <c r="Q186" s="7">
        <f t="shared" si="3"/>
        <v>0</v>
      </c>
    </row>
    <row r="187" spans="1:17" x14ac:dyDescent="0.35">
      <c r="A187" s="26"/>
      <c r="B187" s="27"/>
      <c r="C187" s="18" t="s">
        <v>86</v>
      </c>
      <c r="D187" s="16"/>
      <c r="E187" s="17"/>
      <c r="F187" s="3" t="s">
        <v>87</v>
      </c>
      <c r="G187" s="3" t="s">
        <v>21</v>
      </c>
      <c r="H187" s="4">
        <v>1</v>
      </c>
      <c r="I187" s="4">
        <v>40.284008</v>
      </c>
      <c r="J187" s="5">
        <v>1</v>
      </c>
      <c r="K187" s="4">
        <v>0.35832799999999998</v>
      </c>
      <c r="L187" s="6">
        <v>0.99758199999999997</v>
      </c>
      <c r="M187" s="7">
        <v>0</v>
      </c>
      <c r="N187" s="21">
        <v>0.99999899999999997</v>
      </c>
      <c r="O187" s="16"/>
      <c r="P187" s="17"/>
      <c r="Q187" s="7">
        <f t="shared" si="3"/>
        <v>14.434888018623999</v>
      </c>
    </row>
    <row r="188" spans="1:17" x14ac:dyDescent="0.35">
      <c r="A188" s="26"/>
      <c r="B188" s="27"/>
      <c r="C188" s="18" t="s">
        <v>88</v>
      </c>
      <c r="D188" s="16"/>
      <c r="E188" s="17"/>
      <c r="F188" s="3" t="s">
        <v>89</v>
      </c>
      <c r="G188" s="3" t="s">
        <v>21</v>
      </c>
      <c r="H188" s="4">
        <v>1</v>
      </c>
      <c r="I188" s="4">
        <v>40.284008</v>
      </c>
      <c r="J188" s="5">
        <v>1</v>
      </c>
      <c r="K188" s="4">
        <v>218.02730700000001</v>
      </c>
      <c r="L188" s="6">
        <v>0.98045099999999996</v>
      </c>
      <c r="M188" s="7">
        <v>0</v>
      </c>
      <c r="N188" s="21">
        <v>0.99999899999999997</v>
      </c>
      <c r="O188" s="16"/>
      <c r="P188" s="17"/>
      <c r="Q188" s="7">
        <f t="shared" si="3"/>
        <v>8783.0137794064558</v>
      </c>
    </row>
    <row r="189" spans="1:17" x14ac:dyDescent="0.35">
      <c r="A189" s="26"/>
      <c r="B189" s="27"/>
      <c r="C189" s="18" t="s">
        <v>90</v>
      </c>
      <c r="D189" s="16"/>
      <c r="E189" s="17"/>
      <c r="F189" s="3" t="s">
        <v>91</v>
      </c>
      <c r="G189" s="3" t="s">
        <v>21</v>
      </c>
      <c r="H189" s="4">
        <v>1</v>
      </c>
      <c r="I189" s="4">
        <v>40.284008</v>
      </c>
      <c r="J189" s="5">
        <v>1</v>
      </c>
      <c r="K189" s="4">
        <v>0</v>
      </c>
      <c r="L189" s="6">
        <v>0.99978500000000003</v>
      </c>
      <c r="M189" s="7">
        <v>0</v>
      </c>
      <c r="N189" s="21">
        <v>0.99985599999999997</v>
      </c>
      <c r="O189" s="16"/>
      <c r="P189" s="17"/>
      <c r="Q189" s="7">
        <f t="shared" si="3"/>
        <v>0</v>
      </c>
    </row>
    <row r="190" spans="1:17" x14ac:dyDescent="0.35">
      <c r="A190" s="26"/>
      <c r="B190" s="27"/>
      <c r="C190" s="18" t="s">
        <v>92</v>
      </c>
      <c r="D190" s="16"/>
      <c r="E190" s="17"/>
      <c r="F190" s="3" t="s">
        <v>93</v>
      </c>
      <c r="G190" s="3" t="s">
        <v>21</v>
      </c>
      <c r="H190" s="4">
        <v>1</v>
      </c>
      <c r="I190" s="4">
        <v>40.284008</v>
      </c>
      <c r="J190" s="5">
        <v>1</v>
      </c>
      <c r="K190" s="4">
        <v>0</v>
      </c>
      <c r="L190" s="6">
        <v>0.99966600000000005</v>
      </c>
      <c r="M190" s="7">
        <v>0</v>
      </c>
      <c r="N190" s="24">
        <v>0.856267</v>
      </c>
      <c r="O190" s="16"/>
      <c r="P190" s="17"/>
      <c r="Q190" s="7">
        <f t="shared" si="3"/>
        <v>0</v>
      </c>
    </row>
    <row r="191" spans="1:17" x14ac:dyDescent="0.35">
      <c r="A191" s="26"/>
      <c r="B191" s="27"/>
      <c r="C191" s="18" t="s">
        <v>94</v>
      </c>
      <c r="D191" s="16"/>
      <c r="E191" s="17"/>
      <c r="F191" s="3" t="s">
        <v>95</v>
      </c>
      <c r="G191" s="3" t="s">
        <v>21</v>
      </c>
      <c r="H191" s="4">
        <v>1</v>
      </c>
      <c r="I191" s="4">
        <v>40.284008</v>
      </c>
      <c r="J191" s="5">
        <v>1</v>
      </c>
      <c r="K191" s="4">
        <v>0</v>
      </c>
      <c r="L191" s="6">
        <v>0.99999899999999997</v>
      </c>
      <c r="M191" s="7">
        <v>0</v>
      </c>
      <c r="N191" s="21">
        <v>0.98130499999999998</v>
      </c>
      <c r="O191" s="16"/>
      <c r="P191" s="17"/>
      <c r="Q191" s="7">
        <f t="shared" si="3"/>
        <v>0</v>
      </c>
    </row>
    <row r="192" spans="1:17" x14ac:dyDescent="0.35">
      <c r="A192" s="26"/>
      <c r="B192" s="27"/>
      <c r="C192" s="18" t="s">
        <v>96</v>
      </c>
      <c r="D192" s="16"/>
      <c r="E192" s="17"/>
      <c r="F192" s="3" t="s">
        <v>97</v>
      </c>
      <c r="G192" s="3" t="s">
        <v>21</v>
      </c>
      <c r="H192" s="4">
        <v>1</v>
      </c>
      <c r="I192" s="4">
        <v>40.284008</v>
      </c>
      <c r="J192" s="5">
        <v>1</v>
      </c>
      <c r="K192" s="4">
        <v>130.307851</v>
      </c>
      <c r="L192" s="6">
        <v>0.90892200000000001</v>
      </c>
      <c r="M192" s="7">
        <v>0</v>
      </c>
      <c r="N192" s="21">
        <v>1</v>
      </c>
      <c r="O192" s="16"/>
      <c r="P192" s="17"/>
      <c r="Q192" s="7">
        <f t="shared" si="3"/>
        <v>5249.3225121468076</v>
      </c>
    </row>
    <row r="193" spans="1:17" x14ac:dyDescent="0.35">
      <c r="A193" s="26"/>
      <c r="B193" s="27"/>
      <c r="C193" s="18" t="s">
        <v>98</v>
      </c>
      <c r="D193" s="16"/>
      <c r="E193" s="17"/>
      <c r="F193" s="3" t="s">
        <v>99</v>
      </c>
      <c r="G193" s="3" t="s">
        <v>21</v>
      </c>
      <c r="H193" s="4">
        <v>1</v>
      </c>
      <c r="I193" s="4">
        <v>40.284008</v>
      </c>
      <c r="J193" s="5">
        <v>1</v>
      </c>
      <c r="K193" s="4">
        <v>665.45412399999998</v>
      </c>
      <c r="L193" s="8">
        <v>0.88745099999999999</v>
      </c>
      <c r="M193" s="7">
        <v>0</v>
      </c>
      <c r="N193" s="21">
        <v>1</v>
      </c>
      <c r="O193" s="16"/>
      <c r="P193" s="17"/>
      <c r="Q193" s="7">
        <f t="shared" si="3"/>
        <v>26807.15925484899</v>
      </c>
    </row>
    <row r="194" spans="1:17" x14ac:dyDescent="0.35">
      <c r="A194" s="26"/>
      <c r="B194" s="27"/>
      <c r="C194" s="18" t="s">
        <v>100</v>
      </c>
      <c r="D194" s="16"/>
      <c r="E194" s="17"/>
      <c r="F194" s="3" t="s">
        <v>101</v>
      </c>
      <c r="G194" s="3" t="s">
        <v>21</v>
      </c>
      <c r="H194" s="4">
        <v>1</v>
      </c>
      <c r="I194" s="4">
        <v>40.284008</v>
      </c>
      <c r="J194" s="5">
        <v>1</v>
      </c>
      <c r="K194" s="4">
        <v>121.726072</v>
      </c>
      <c r="L194" s="8">
        <v>0.89684799999999998</v>
      </c>
      <c r="M194" s="7">
        <v>0</v>
      </c>
      <c r="N194" s="21">
        <v>0.99999199999999999</v>
      </c>
      <c r="O194" s="16"/>
      <c r="P194" s="17"/>
      <c r="Q194" s="7">
        <f t="shared" si="3"/>
        <v>4903.6140582565758</v>
      </c>
    </row>
    <row r="195" spans="1:17" x14ac:dyDescent="0.35">
      <c r="A195" s="26"/>
      <c r="B195" s="27"/>
      <c r="C195" s="18" t="s">
        <v>102</v>
      </c>
      <c r="D195" s="16"/>
      <c r="E195" s="17"/>
      <c r="F195" s="3" t="s">
        <v>103</v>
      </c>
      <c r="G195" s="3" t="s">
        <v>21</v>
      </c>
      <c r="H195" s="4">
        <v>1</v>
      </c>
      <c r="I195" s="4">
        <v>40.284008</v>
      </c>
      <c r="J195" s="5">
        <v>1</v>
      </c>
      <c r="K195" s="4">
        <v>253.565305</v>
      </c>
      <c r="L195" s="8">
        <v>0.86410299999999995</v>
      </c>
      <c r="M195" s="7">
        <v>0</v>
      </c>
      <c r="N195" s="21">
        <v>0.99995400000000001</v>
      </c>
      <c r="O195" s="16"/>
      <c r="P195" s="17"/>
      <c r="Q195" s="7">
        <f t="shared" si="3"/>
        <v>10214.62677514244</v>
      </c>
    </row>
    <row r="196" spans="1:17" x14ac:dyDescent="0.35">
      <c r="A196" s="26"/>
      <c r="B196" s="27"/>
      <c r="C196" s="18" t="s">
        <v>104</v>
      </c>
      <c r="D196" s="16"/>
      <c r="E196" s="17"/>
      <c r="F196" s="3" t="s">
        <v>105</v>
      </c>
      <c r="G196" s="3" t="s">
        <v>21</v>
      </c>
      <c r="H196" s="4">
        <v>1</v>
      </c>
      <c r="I196" s="4">
        <v>40.284008</v>
      </c>
      <c r="J196" s="5">
        <v>1</v>
      </c>
      <c r="K196" s="4">
        <v>0</v>
      </c>
      <c r="L196" s="6">
        <v>0.98699300000000001</v>
      </c>
      <c r="M196" s="7">
        <v>0</v>
      </c>
      <c r="N196" s="21">
        <v>1</v>
      </c>
      <c r="O196" s="16"/>
      <c r="P196" s="17"/>
      <c r="Q196" s="7">
        <f t="shared" si="3"/>
        <v>0</v>
      </c>
    </row>
    <row r="197" spans="1:17" x14ac:dyDescent="0.35">
      <c r="A197" s="26"/>
      <c r="B197" s="27"/>
      <c r="C197" s="18" t="s">
        <v>106</v>
      </c>
      <c r="D197" s="16"/>
      <c r="E197" s="17"/>
      <c r="F197" s="3" t="s">
        <v>107</v>
      </c>
      <c r="G197" s="3" t="s">
        <v>21</v>
      </c>
      <c r="H197" s="4">
        <v>1</v>
      </c>
      <c r="I197" s="4">
        <v>40.284008</v>
      </c>
      <c r="J197" s="5">
        <v>1</v>
      </c>
      <c r="K197" s="4">
        <v>424.97731900000002</v>
      </c>
      <c r="L197" s="8">
        <v>0.86809800000000004</v>
      </c>
      <c r="M197" s="7">
        <v>0</v>
      </c>
      <c r="N197" s="21">
        <v>0.99998600000000004</v>
      </c>
      <c r="O197" s="16"/>
      <c r="P197" s="17"/>
      <c r="Q197" s="7">
        <f t="shared" si="3"/>
        <v>17119.789718414551</v>
      </c>
    </row>
    <row r="198" spans="1:17" x14ac:dyDescent="0.35">
      <c r="A198" s="26"/>
      <c r="B198" s="27"/>
      <c r="C198" s="18" t="s">
        <v>108</v>
      </c>
      <c r="D198" s="16"/>
      <c r="E198" s="17"/>
      <c r="F198" s="3" t="s">
        <v>109</v>
      </c>
      <c r="G198" s="3" t="s">
        <v>21</v>
      </c>
      <c r="H198" s="4">
        <v>1</v>
      </c>
      <c r="I198" s="4">
        <v>40.284008</v>
      </c>
      <c r="J198" s="5">
        <v>1</v>
      </c>
      <c r="K198" s="4">
        <v>255.50904199999999</v>
      </c>
      <c r="L198" s="8">
        <v>0.89504499999999998</v>
      </c>
      <c r="M198" s="7">
        <v>0</v>
      </c>
      <c r="N198" s="21">
        <v>0.99970099999999995</v>
      </c>
      <c r="O198" s="16"/>
      <c r="P198" s="17"/>
      <c r="Q198" s="7">
        <f t="shared" si="3"/>
        <v>10292.928292000335</v>
      </c>
    </row>
    <row r="199" spans="1:17" x14ac:dyDescent="0.35">
      <c r="A199" s="26"/>
      <c r="B199" s="27"/>
      <c r="C199" s="18" t="s">
        <v>110</v>
      </c>
      <c r="D199" s="16"/>
      <c r="E199" s="17"/>
      <c r="F199" s="3" t="s">
        <v>111</v>
      </c>
      <c r="G199" s="3" t="s">
        <v>21</v>
      </c>
      <c r="H199" s="4">
        <v>1</v>
      </c>
      <c r="I199" s="4">
        <v>40.284008</v>
      </c>
      <c r="J199" s="5">
        <v>1</v>
      </c>
      <c r="K199" s="4">
        <v>435.56977899999998</v>
      </c>
      <c r="L199" s="8">
        <v>0.89710500000000004</v>
      </c>
      <c r="M199" s="7">
        <v>0</v>
      </c>
      <c r="N199" s="21">
        <v>0.99997400000000003</v>
      </c>
      <c r="O199" s="16"/>
      <c r="P199" s="17"/>
      <c r="Q199" s="7">
        <f t="shared" si="3"/>
        <v>17546.496461794231</v>
      </c>
    </row>
    <row r="200" spans="1:17" ht="14.5" customHeight="1" x14ac:dyDescent="0.35">
      <c r="A200" s="26"/>
      <c r="B200" s="27"/>
      <c r="C200" s="18" t="s">
        <v>112</v>
      </c>
      <c r="D200" s="16"/>
      <c r="E200" s="17"/>
      <c r="F200" s="3" t="s">
        <v>113</v>
      </c>
      <c r="G200" s="3" t="s">
        <v>21</v>
      </c>
      <c r="H200" s="4">
        <v>1</v>
      </c>
      <c r="I200" s="4">
        <v>40.284008</v>
      </c>
      <c r="J200" s="5">
        <v>1</v>
      </c>
      <c r="K200" s="4">
        <f>25.68+3.78596</f>
        <v>29.465959999999999</v>
      </c>
      <c r="L200" s="6">
        <v>0.98443499999999995</v>
      </c>
      <c r="M200" s="7">
        <v>0</v>
      </c>
      <c r="N200" s="21">
        <v>0.999861</v>
      </c>
      <c r="O200" s="16"/>
      <c r="P200" s="17"/>
      <c r="Q200" s="7">
        <f t="shared" si="3"/>
        <v>1187.00696836768</v>
      </c>
    </row>
    <row r="201" spans="1:17" x14ac:dyDescent="0.35">
      <c r="A201" s="26"/>
      <c r="B201" s="27"/>
      <c r="C201" s="18" t="s">
        <v>114</v>
      </c>
      <c r="D201" s="16"/>
      <c r="E201" s="17"/>
      <c r="F201" s="3" t="s">
        <v>115</v>
      </c>
      <c r="G201" s="3" t="s">
        <v>21</v>
      </c>
      <c r="H201" s="4">
        <v>1</v>
      </c>
      <c r="I201" s="4">
        <v>40.284008</v>
      </c>
      <c r="J201" s="5">
        <v>1</v>
      </c>
      <c r="K201" s="4">
        <v>34.067473999999997</v>
      </c>
      <c r="L201" s="6">
        <v>0.96269499999999997</v>
      </c>
      <c r="M201" s="7">
        <v>0</v>
      </c>
      <c r="N201" s="21">
        <v>0.99999099999999996</v>
      </c>
      <c r="O201" s="16"/>
      <c r="P201" s="17"/>
      <c r="Q201" s="7">
        <f t="shared" si="3"/>
        <v>1372.3743951557919</v>
      </c>
    </row>
    <row r="202" spans="1:17" x14ac:dyDescent="0.35">
      <c r="A202" s="26"/>
      <c r="B202" s="27"/>
      <c r="C202" s="18" t="s">
        <v>116</v>
      </c>
      <c r="D202" s="16"/>
      <c r="E202" s="17"/>
      <c r="F202" s="3" t="s">
        <v>117</v>
      </c>
      <c r="G202" s="3" t="s">
        <v>21</v>
      </c>
      <c r="H202" s="4">
        <v>1</v>
      </c>
      <c r="I202" s="4">
        <v>40.284008</v>
      </c>
      <c r="J202" s="5">
        <v>1</v>
      </c>
      <c r="K202" s="4">
        <v>0</v>
      </c>
      <c r="L202" s="6">
        <v>0.97470999999999997</v>
      </c>
      <c r="M202" s="7">
        <v>0</v>
      </c>
      <c r="N202" s="21">
        <v>0.99998900000000002</v>
      </c>
      <c r="O202" s="16"/>
      <c r="P202" s="17"/>
      <c r="Q202" s="7">
        <f t="shared" si="3"/>
        <v>0</v>
      </c>
    </row>
    <row r="203" spans="1:17" x14ac:dyDescent="0.35">
      <c r="A203" s="26"/>
      <c r="B203" s="27"/>
      <c r="C203" s="18" t="s">
        <v>118</v>
      </c>
      <c r="D203" s="16"/>
      <c r="E203" s="17"/>
      <c r="F203" s="3" t="s">
        <v>119</v>
      </c>
      <c r="G203" s="3" t="s">
        <v>21</v>
      </c>
      <c r="H203" s="4">
        <v>1</v>
      </c>
      <c r="I203" s="4">
        <v>40.284008</v>
      </c>
      <c r="J203" s="5">
        <v>1</v>
      </c>
      <c r="K203" s="4">
        <v>0</v>
      </c>
      <c r="L203" s="6">
        <v>0.99963900000000006</v>
      </c>
      <c r="M203" s="7">
        <v>0</v>
      </c>
      <c r="N203" s="21">
        <v>0.99814899999999995</v>
      </c>
      <c r="O203" s="16"/>
      <c r="P203" s="17"/>
      <c r="Q203" s="7">
        <f t="shared" si="3"/>
        <v>0</v>
      </c>
    </row>
    <row r="204" spans="1:17" x14ac:dyDescent="0.35">
      <c r="A204" s="26"/>
      <c r="B204" s="27"/>
      <c r="C204" s="18" t="s">
        <v>120</v>
      </c>
      <c r="D204" s="16"/>
      <c r="E204" s="17"/>
      <c r="F204" s="3" t="s">
        <v>121</v>
      </c>
      <c r="G204" s="3" t="s">
        <v>21</v>
      </c>
      <c r="H204" s="4">
        <v>1</v>
      </c>
      <c r="I204" s="4">
        <v>40.284008</v>
      </c>
      <c r="J204" s="5">
        <v>1</v>
      </c>
      <c r="K204" s="4">
        <v>17.730093</v>
      </c>
      <c r="L204" s="6">
        <v>0.96653299999999998</v>
      </c>
      <c r="M204" s="7">
        <v>0</v>
      </c>
      <c r="N204" s="21">
        <v>0.99255499999999997</v>
      </c>
      <c r="O204" s="16"/>
      <c r="P204" s="17"/>
      <c r="Q204" s="7">
        <f t="shared" si="3"/>
        <v>714.23920825274399</v>
      </c>
    </row>
    <row r="205" spans="1:17" x14ac:dyDescent="0.35">
      <c r="A205" s="26"/>
      <c r="B205" s="27"/>
      <c r="C205" s="18" t="s">
        <v>122</v>
      </c>
      <c r="D205" s="16"/>
      <c r="E205" s="17"/>
      <c r="F205" s="3" t="s">
        <v>123</v>
      </c>
      <c r="G205" s="3" t="s">
        <v>21</v>
      </c>
      <c r="H205" s="4">
        <v>1</v>
      </c>
      <c r="I205" s="4">
        <v>40.284008</v>
      </c>
      <c r="J205" s="5">
        <v>1</v>
      </c>
      <c r="K205" s="4">
        <v>7.49641</v>
      </c>
      <c r="L205" s="6">
        <v>0.96831599999999995</v>
      </c>
      <c r="M205" s="7">
        <v>0</v>
      </c>
      <c r="N205" s="21">
        <v>0.99915600000000004</v>
      </c>
      <c r="O205" s="16"/>
      <c r="P205" s="17"/>
      <c r="Q205" s="7">
        <f t="shared" si="3"/>
        <v>301.98544041128002</v>
      </c>
    </row>
    <row r="206" spans="1:17" x14ac:dyDescent="0.35">
      <c r="A206" s="26"/>
      <c r="B206" s="27"/>
      <c r="C206" s="18" t="s">
        <v>124</v>
      </c>
      <c r="D206" s="16"/>
      <c r="E206" s="17"/>
      <c r="F206" s="3" t="s">
        <v>125</v>
      </c>
      <c r="G206" s="3" t="s">
        <v>21</v>
      </c>
      <c r="H206" s="4">
        <v>1</v>
      </c>
      <c r="I206" s="4">
        <v>40.284008</v>
      </c>
      <c r="J206" s="5">
        <v>1</v>
      </c>
      <c r="K206" s="4">
        <v>259.55674699999997</v>
      </c>
      <c r="L206" s="8">
        <v>0.87547299999999995</v>
      </c>
      <c r="M206" s="7">
        <v>0</v>
      </c>
      <c r="N206" s="21">
        <v>0.99999899999999997</v>
      </c>
      <c r="O206" s="16"/>
      <c r="P206" s="17"/>
      <c r="Q206" s="7">
        <f t="shared" si="3"/>
        <v>10455.986072601974</v>
      </c>
    </row>
    <row r="207" spans="1:17" x14ac:dyDescent="0.35">
      <c r="A207" s="26"/>
      <c r="B207" s="27"/>
      <c r="C207" s="18" t="s">
        <v>126</v>
      </c>
      <c r="D207" s="16"/>
      <c r="E207" s="17"/>
      <c r="F207" s="3" t="s">
        <v>127</v>
      </c>
      <c r="G207" s="3" t="s">
        <v>21</v>
      </c>
      <c r="H207" s="4">
        <v>1</v>
      </c>
      <c r="I207" s="4">
        <v>40.284008</v>
      </c>
      <c r="J207" s="5">
        <v>1</v>
      </c>
      <c r="K207" s="4">
        <v>56.613545999999999</v>
      </c>
      <c r="L207" s="6">
        <v>0.95703099999999997</v>
      </c>
      <c r="M207" s="7">
        <v>0</v>
      </c>
      <c r="N207" s="21">
        <v>1</v>
      </c>
      <c r="O207" s="16"/>
      <c r="P207" s="17"/>
      <c r="Q207" s="7">
        <f t="shared" si="3"/>
        <v>2280.6205399723681</v>
      </c>
    </row>
    <row r="208" spans="1:17" x14ac:dyDescent="0.35">
      <c r="A208" s="26"/>
      <c r="B208" s="27"/>
      <c r="C208" s="18" t="s">
        <v>128</v>
      </c>
      <c r="D208" s="16"/>
      <c r="E208" s="17"/>
      <c r="F208" s="3" t="s">
        <v>129</v>
      </c>
      <c r="G208" s="3" t="s">
        <v>21</v>
      </c>
      <c r="H208" s="4">
        <v>1</v>
      </c>
      <c r="I208" s="4">
        <v>40.284008</v>
      </c>
      <c r="J208" s="5">
        <v>1</v>
      </c>
      <c r="K208" s="4">
        <v>3.4236249999999999</v>
      </c>
      <c r="L208" s="6">
        <v>0.96950199999999997</v>
      </c>
      <c r="M208" s="7">
        <v>0</v>
      </c>
      <c r="N208" s="21">
        <v>1</v>
      </c>
      <c r="O208" s="16"/>
      <c r="P208" s="17"/>
      <c r="Q208" s="7">
        <f t="shared" si="3"/>
        <v>137.91733688899998</v>
      </c>
    </row>
    <row r="209" spans="1:17" x14ac:dyDescent="0.35">
      <c r="A209" s="26"/>
      <c r="B209" s="27"/>
      <c r="C209" s="18" t="s">
        <v>130</v>
      </c>
      <c r="D209" s="16"/>
      <c r="E209" s="17"/>
      <c r="F209" s="3" t="s">
        <v>131</v>
      </c>
      <c r="G209" s="3" t="s">
        <v>21</v>
      </c>
      <c r="H209" s="4">
        <v>1</v>
      </c>
      <c r="I209" s="4">
        <v>40.284008</v>
      </c>
      <c r="J209" s="5">
        <v>1</v>
      </c>
      <c r="K209" s="4">
        <v>2167.8484560000002</v>
      </c>
      <c r="L209" s="8">
        <v>0.768208</v>
      </c>
      <c r="M209" s="7">
        <v>0</v>
      </c>
      <c r="N209" s="21">
        <v>1</v>
      </c>
      <c r="O209" s="16"/>
      <c r="P209" s="17"/>
      <c r="Q209" s="7">
        <f t="shared" si="3"/>
        <v>87329.624544291655</v>
      </c>
    </row>
    <row r="210" spans="1:17" x14ac:dyDescent="0.35">
      <c r="A210" s="26"/>
      <c r="B210" s="27"/>
      <c r="C210" s="18" t="s">
        <v>132</v>
      </c>
      <c r="D210" s="16"/>
      <c r="E210" s="17"/>
      <c r="F210" s="3" t="s">
        <v>133</v>
      </c>
      <c r="G210" s="3" t="s">
        <v>21</v>
      </c>
      <c r="H210" s="4">
        <v>1</v>
      </c>
      <c r="I210" s="4">
        <v>40.284008</v>
      </c>
      <c r="J210" s="5">
        <v>1</v>
      </c>
      <c r="K210" s="4">
        <v>0</v>
      </c>
      <c r="L210" s="6">
        <v>0.974163</v>
      </c>
      <c r="M210" s="7">
        <v>0</v>
      </c>
      <c r="N210" s="21">
        <v>0.99025399999999997</v>
      </c>
      <c r="O210" s="16"/>
      <c r="P210" s="17"/>
      <c r="Q210" s="7">
        <f t="shared" si="3"/>
        <v>0</v>
      </c>
    </row>
    <row r="211" spans="1:17" x14ac:dyDescent="0.35">
      <c r="A211" s="26"/>
      <c r="B211" s="27"/>
      <c r="C211" s="18" t="s">
        <v>134</v>
      </c>
      <c r="D211" s="16"/>
      <c r="E211" s="17"/>
      <c r="F211" s="3" t="s">
        <v>135</v>
      </c>
      <c r="G211" s="3" t="s">
        <v>21</v>
      </c>
      <c r="H211" s="4">
        <v>1</v>
      </c>
      <c r="I211" s="4">
        <v>40.284008</v>
      </c>
      <c r="J211" s="5">
        <v>5</v>
      </c>
      <c r="K211" s="4">
        <v>54.814118000000001</v>
      </c>
      <c r="L211" s="8">
        <v>0.89382700000000004</v>
      </c>
      <c r="M211" s="7">
        <v>0</v>
      </c>
      <c r="N211" s="21">
        <v>1</v>
      </c>
      <c r="O211" s="16"/>
      <c r="P211" s="17"/>
      <c r="Q211" s="7">
        <f t="shared" si="3"/>
        <v>11040.66184012472</v>
      </c>
    </row>
    <row r="212" spans="1:17" x14ac:dyDescent="0.35">
      <c r="A212" s="26"/>
      <c r="B212" s="27"/>
      <c r="C212" s="18" t="s">
        <v>136</v>
      </c>
      <c r="D212" s="16"/>
      <c r="E212" s="17"/>
      <c r="F212" s="3" t="s">
        <v>137</v>
      </c>
      <c r="G212" s="3" t="s">
        <v>21</v>
      </c>
      <c r="H212" s="4">
        <v>1</v>
      </c>
      <c r="I212" s="4">
        <v>40.284008</v>
      </c>
      <c r="J212" s="5">
        <v>1</v>
      </c>
      <c r="K212" s="4">
        <v>6.7810360000000003</v>
      </c>
      <c r="L212" s="6">
        <v>0.94165299999999996</v>
      </c>
      <c r="M212" s="7">
        <v>0</v>
      </c>
      <c r="N212" s="21">
        <v>1</v>
      </c>
      <c r="O212" s="16"/>
      <c r="P212" s="17"/>
      <c r="Q212" s="7">
        <f t="shared" si="3"/>
        <v>273.16730847228803</v>
      </c>
    </row>
    <row r="213" spans="1:17" x14ac:dyDescent="0.35">
      <c r="A213" s="26"/>
      <c r="B213" s="27"/>
      <c r="C213" s="18" t="s">
        <v>138</v>
      </c>
      <c r="D213" s="16"/>
      <c r="E213" s="17"/>
      <c r="F213" s="3" t="s">
        <v>139</v>
      </c>
      <c r="G213" s="3" t="s">
        <v>21</v>
      </c>
      <c r="H213" s="4">
        <v>1</v>
      </c>
      <c r="I213" s="4">
        <v>40.284008</v>
      </c>
      <c r="J213" s="5">
        <v>1</v>
      </c>
      <c r="K213" s="4">
        <v>0</v>
      </c>
      <c r="L213" s="6">
        <v>0.99115500000000001</v>
      </c>
      <c r="M213" s="7">
        <v>0</v>
      </c>
      <c r="N213" s="21">
        <v>1</v>
      </c>
      <c r="O213" s="16"/>
      <c r="P213" s="17"/>
      <c r="Q213" s="7">
        <f t="shared" si="3"/>
        <v>0</v>
      </c>
    </row>
    <row r="214" spans="1:17" x14ac:dyDescent="0.35">
      <c r="A214" s="26"/>
      <c r="B214" s="27"/>
      <c r="C214" s="18" t="s">
        <v>140</v>
      </c>
      <c r="D214" s="16"/>
      <c r="E214" s="17"/>
      <c r="F214" s="3" t="s">
        <v>141</v>
      </c>
      <c r="G214" s="3" t="s">
        <v>21</v>
      </c>
      <c r="H214" s="4">
        <v>1</v>
      </c>
      <c r="I214" s="4">
        <v>40.284008</v>
      </c>
      <c r="J214" s="5">
        <v>6</v>
      </c>
      <c r="K214" s="4">
        <v>0</v>
      </c>
      <c r="L214" s="6">
        <v>0.99997499999999995</v>
      </c>
      <c r="M214" s="7">
        <v>0</v>
      </c>
      <c r="N214" s="21">
        <v>0.99286600000000003</v>
      </c>
      <c r="O214" s="16"/>
      <c r="P214" s="17"/>
      <c r="Q214" s="7">
        <f t="shared" si="3"/>
        <v>0</v>
      </c>
    </row>
    <row r="215" spans="1:17" x14ac:dyDescent="0.35">
      <c r="A215" s="26"/>
      <c r="B215" s="27"/>
      <c r="C215" s="18" t="s">
        <v>142</v>
      </c>
      <c r="D215" s="16"/>
      <c r="E215" s="17"/>
      <c r="F215" s="3" t="s">
        <v>143</v>
      </c>
      <c r="G215" s="3" t="s">
        <v>21</v>
      </c>
      <c r="H215" s="4">
        <v>1</v>
      </c>
      <c r="I215" s="4">
        <v>40.284008</v>
      </c>
      <c r="J215" s="5">
        <v>12</v>
      </c>
      <c r="K215" s="4">
        <v>43.723771999999997</v>
      </c>
      <c r="L215" s="6">
        <v>0.93166700000000002</v>
      </c>
      <c r="M215" s="7">
        <v>0</v>
      </c>
      <c r="N215" s="21">
        <v>1</v>
      </c>
      <c r="O215" s="16"/>
      <c r="P215" s="17"/>
      <c r="Q215" s="7">
        <f t="shared" si="3"/>
        <v>21136.42537245811</v>
      </c>
    </row>
    <row r="216" spans="1:17" x14ac:dyDescent="0.35">
      <c r="A216" s="26"/>
      <c r="B216" s="27"/>
      <c r="C216" s="18" t="s">
        <v>144</v>
      </c>
      <c r="D216" s="16"/>
      <c r="E216" s="17"/>
      <c r="F216" s="3" t="s">
        <v>145</v>
      </c>
      <c r="G216" s="3" t="s">
        <v>21</v>
      </c>
      <c r="H216" s="4">
        <v>1</v>
      </c>
      <c r="I216" s="4">
        <v>40.284008</v>
      </c>
      <c r="J216" s="5">
        <v>10</v>
      </c>
      <c r="K216" s="4">
        <v>390.90113700000001</v>
      </c>
      <c r="L216" s="8">
        <v>0.85489800000000005</v>
      </c>
      <c r="M216" s="7">
        <v>0</v>
      </c>
      <c r="N216" s="21">
        <v>1</v>
      </c>
      <c r="O216" s="16"/>
      <c r="P216" s="17"/>
      <c r="Q216" s="7">
        <f t="shared" si="3"/>
        <v>157470.64530117097</v>
      </c>
    </row>
    <row r="217" spans="1:17" x14ac:dyDescent="0.35">
      <c r="A217" s="26"/>
      <c r="B217" s="27"/>
      <c r="C217" s="18" t="s">
        <v>146</v>
      </c>
      <c r="D217" s="16"/>
      <c r="E217" s="17"/>
      <c r="F217" s="3" t="s">
        <v>147</v>
      </c>
      <c r="G217" s="3" t="s">
        <v>21</v>
      </c>
      <c r="H217" s="4">
        <v>1</v>
      </c>
      <c r="I217" s="4">
        <v>40.284008</v>
      </c>
      <c r="J217" s="5">
        <v>12</v>
      </c>
      <c r="K217" s="4">
        <v>282.22186399999998</v>
      </c>
      <c r="L217" s="8">
        <v>0.84629699999999997</v>
      </c>
      <c r="M217" s="7">
        <v>0</v>
      </c>
      <c r="N217" s="21">
        <v>1</v>
      </c>
      <c r="O217" s="16"/>
      <c r="P217" s="17"/>
      <c r="Q217" s="7">
        <f t="shared" si="3"/>
        <v>136428.33392581093</v>
      </c>
    </row>
    <row r="218" spans="1:17" x14ac:dyDescent="0.35">
      <c r="A218" s="26"/>
      <c r="B218" s="27"/>
      <c r="C218" s="18" t="s">
        <v>148</v>
      </c>
      <c r="D218" s="16"/>
      <c r="E218" s="17"/>
      <c r="F218" s="3" t="s">
        <v>149</v>
      </c>
      <c r="G218" s="3" t="s">
        <v>21</v>
      </c>
      <c r="H218" s="4">
        <v>1</v>
      </c>
      <c r="I218" s="4">
        <v>40.284008</v>
      </c>
      <c r="J218" s="5">
        <v>1</v>
      </c>
      <c r="K218" s="4">
        <v>29.889379999999999</v>
      </c>
      <c r="L218" s="6">
        <v>0.94941600000000004</v>
      </c>
      <c r="M218" s="7">
        <v>0</v>
      </c>
      <c r="N218" s="21">
        <v>0.99999800000000005</v>
      </c>
      <c r="O218" s="16"/>
      <c r="P218" s="17"/>
      <c r="Q218" s="7">
        <f t="shared" si="3"/>
        <v>1204.06402303504</v>
      </c>
    </row>
    <row r="219" spans="1:17" x14ac:dyDescent="0.35">
      <c r="A219" s="26"/>
      <c r="B219" s="27"/>
      <c r="C219" s="18" t="s">
        <v>150</v>
      </c>
      <c r="D219" s="16"/>
      <c r="E219" s="17"/>
      <c r="F219" s="3" t="s">
        <v>151</v>
      </c>
      <c r="G219" s="3" t="s">
        <v>21</v>
      </c>
      <c r="H219" s="4">
        <v>1</v>
      </c>
      <c r="I219" s="4">
        <v>40.284008</v>
      </c>
      <c r="J219" s="5">
        <v>1</v>
      </c>
      <c r="K219" s="4">
        <v>0</v>
      </c>
      <c r="L219" s="6">
        <v>0.96182500000000004</v>
      </c>
      <c r="M219" s="7">
        <v>0</v>
      </c>
      <c r="N219" s="21">
        <v>0.99948499999999996</v>
      </c>
      <c r="O219" s="16"/>
      <c r="P219" s="17"/>
      <c r="Q219" s="7">
        <f t="shared" ref="Q219:Q261" si="4">((M219+K219)*J219)*I219</f>
        <v>0</v>
      </c>
    </row>
    <row r="220" spans="1:17" x14ac:dyDescent="0.35">
      <c r="A220" s="26"/>
      <c r="B220" s="27"/>
      <c r="C220" s="18" t="s">
        <v>152</v>
      </c>
      <c r="D220" s="16"/>
      <c r="E220" s="17"/>
      <c r="F220" s="3" t="s">
        <v>153</v>
      </c>
      <c r="G220" s="3" t="s">
        <v>21</v>
      </c>
      <c r="H220" s="4">
        <v>1</v>
      </c>
      <c r="I220" s="4">
        <v>40.284008</v>
      </c>
      <c r="J220" s="5">
        <v>1</v>
      </c>
      <c r="K220" s="4">
        <v>0.79</v>
      </c>
      <c r="L220" s="6">
        <v>0.95383300000000004</v>
      </c>
      <c r="M220" s="7">
        <v>0</v>
      </c>
      <c r="N220" s="21">
        <v>1</v>
      </c>
      <c r="O220" s="16"/>
      <c r="P220" s="17"/>
      <c r="Q220" s="7">
        <f t="shared" si="4"/>
        <v>31.824366320000003</v>
      </c>
    </row>
    <row r="221" spans="1:17" x14ac:dyDescent="0.35">
      <c r="A221" s="26"/>
      <c r="B221" s="27"/>
      <c r="C221" s="18" t="s">
        <v>154</v>
      </c>
      <c r="D221" s="16"/>
      <c r="E221" s="17"/>
      <c r="F221" s="3" t="s">
        <v>155</v>
      </c>
      <c r="G221" s="3" t="s">
        <v>21</v>
      </c>
      <c r="H221" s="4">
        <v>1</v>
      </c>
      <c r="I221" s="4">
        <v>40.284008</v>
      </c>
      <c r="J221" s="5">
        <v>1</v>
      </c>
      <c r="K221" s="4">
        <v>0</v>
      </c>
      <c r="L221" s="6">
        <v>0.96564000000000005</v>
      </c>
      <c r="M221" s="7">
        <v>0</v>
      </c>
      <c r="N221" s="21">
        <v>0.99801600000000001</v>
      </c>
      <c r="O221" s="16"/>
      <c r="P221" s="17"/>
      <c r="Q221" s="7">
        <f t="shared" si="4"/>
        <v>0</v>
      </c>
    </row>
    <row r="222" spans="1:17" x14ac:dyDescent="0.35">
      <c r="A222" s="26"/>
      <c r="B222" s="27"/>
      <c r="C222" s="18" t="s">
        <v>156</v>
      </c>
      <c r="D222" s="16"/>
      <c r="E222" s="17"/>
      <c r="F222" s="3" t="s">
        <v>157</v>
      </c>
      <c r="G222" s="3" t="s">
        <v>21</v>
      </c>
      <c r="H222" s="4">
        <v>1</v>
      </c>
      <c r="I222" s="4">
        <v>40.284008</v>
      </c>
      <c r="J222" s="5">
        <v>1</v>
      </c>
      <c r="K222" s="4">
        <v>0</v>
      </c>
      <c r="L222" s="6">
        <v>0.99934100000000003</v>
      </c>
      <c r="M222" s="7">
        <v>0</v>
      </c>
      <c r="N222" s="21">
        <v>0.94331600000000004</v>
      </c>
      <c r="O222" s="16"/>
      <c r="P222" s="17"/>
      <c r="Q222" s="7">
        <f t="shared" si="4"/>
        <v>0</v>
      </c>
    </row>
    <row r="223" spans="1:17" x14ac:dyDescent="0.35">
      <c r="A223" s="26"/>
      <c r="B223" s="27"/>
      <c r="C223" s="18" t="s">
        <v>158</v>
      </c>
      <c r="D223" s="16"/>
      <c r="E223" s="17"/>
      <c r="F223" s="3" t="s">
        <v>159</v>
      </c>
      <c r="G223" s="3" t="s">
        <v>21</v>
      </c>
      <c r="H223" s="4">
        <v>1</v>
      </c>
      <c r="I223" s="4">
        <v>40.284008</v>
      </c>
      <c r="J223" s="5">
        <v>6</v>
      </c>
      <c r="K223" s="4">
        <v>693.39207199999998</v>
      </c>
      <c r="L223" s="6">
        <v>0.900478</v>
      </c>
      <c r="M223" s="7">
        <v>0</v>
      </c>
      <c r="N223" s="21">
        <v>1</v>
      </c>
      <c r="O223" s="16"/>
      <c r="P223" s="17"/>
      <c r="Q223" s="7">
        <f t="shared" si="4"/>
        <v>167595.67065350743</v>
      </c>
    </row>
    <row r="224" spans="1:17" x14ac:dyDescent="0.35">
      <c r="A224" s="26"/>
      <c r="B224" s="27"/>
      <c r="C224" s="18" t="s">
        <v>160</v>
      </c>
      <c r="D224" s="16"/>
      <c r="E224" s="17"/>
      <c r="F224" s="3" t="s">
        <v>161</v>
      </c>
      <c r="G224" s="3" t="s">
        <v>21</v>
      </c>
      <c r="H224" s="4">
        <v>1</v>
      </c>
      <c r="I224" s="4">
        <v>40.284008</v>
      </c>
      <c r="J224" s="5">
        <v>6</v>
      </c>
      <c r="K224" s="4">
        <v>459.703464</v>
      </c>
      <c r="L224" s="8">
        <v>0.87311000000000005</v>
      </c>
      <c r="M224" s="7">
        <v>0</v>
      </c>
      <c r="N224" s="21">
        <v>1</v>
      </c>
      <c r="O224" s="16"/>
      <c r="P224" s="17"/>
      <c r="Q224" s="7">
        <f t="shared" si="4"/>
        <v>111112.18812842228</v>
      </c>
    </row>
    <row r="225" spans="1:17" x14ac:dyDescent="0.35">
      <c r="A225" s="26"/>
      <c r="B225" s="27"/>
      <c r="C225" s="18" t="s">
        <v>162</v>
      </c>
      <c r="D225" s="16"/>
      <c r="E225" s="17"/>
      <c r="F225" s="3" t="s">
        <v>163</v>
      </c>
      <c r="G225" s="3" t="s">
        <v>21</v>
      </c>
      <c r="H225" s="4">
        <v>1</v>
      </c>
      <c r="I225" s="4">
        <v>40.284008</v>
      </c>
      <c r="J225" s="5">
        <v>6</v>
      </c>
      <c r="K225" s="4">
        <v>753.16339100000005</v>
      </c>
      <c r="L225" s="8">
        <v>0.87326000000000004</v>
      </c>
      <c r="M225" s="7">
        <v>0</v>
      </c>
      <c r="N225" s="21">
        <v>1</v>
      </c>
      <c r="O225" s="16"/>
      <c r="P225" s="17"/>
      <c r="Q225" s="7">
        <f t="shared" si="4"/>
        <v>182042.64041010677</v>
      </c>
    </row>
    <row r="226" spans="1:17" x14ac:dyDescent="0.35">
      <c r="A226" s="26"/>
      <c r="B226" s="27"/>
      <c r="C226" s="18" t="s">
        <v>164</v>
      </c>
      <c r="D226" s="16"/>
      <c r="E226" s="17"/>
      <c r="F226" s="3" t="s">
        <v>165</v>
      </c>
      <c r="G226" s="3" t="s">
        <v>21</v>
      </c>
      <c r="H226" s="4">
        <v>1</v>
      </c>
      <c r="I226" s="4">
        <v>40.284008</v>
      </c>
      <c r="J226" s="5">
        <v>1</v>
      </c>
      <c r="K226" s="4">
        <v>0</v>
      </c>
      <c r="L226" s="6">
        <v>0.954847</v>
      </c>
      <c r="M226" s="7">
        <v>0</v>
      </c>
      <c r="N226" s="21">
        <v>1</v>
      </c>
      <c r="O226" s="16"/>
      <c r="P226" s="17"/>
      <c r="Q226" s="7">
        <f t="shared" si="4"/>
        <v>0</v>
      </c>
    </row>
    <row r="227" spans="1:17" x14ac:dyDescent="0.35">
      <c r="A227" s="26"/>
      <c r="B227" s="27"/>
      <c r="C227" s="18" t="s">
        <v>166</v>
      </c>
      <c r="D227" s="16"/>
      <c r="E227" s="17"/>
      <c r="F227" s="3" t="s">
        <v>167</v>
      </c>
      <c r="G227" s="3" t="s">
        <v>21</v>
      </c>
      <c r="H227" s="4">
        <v>1</v>
      </c>
      <c r="I227" s="4">
        <v>40.284008</v>
      </c>
      <c r="J227" s="5">
        <v>1</v>
      </c>
      <c r="K227" s="4">
        <v>0</v>
      </c>
      <c r="L227" s="6">
        <v>0.99228000000000005</v>
      </c>
      <c r="M227" s="7">
        <v>0</v>
      </c>
      <c r="N227" s="21">
        <v>0.97217799999999999</v>
      </c>
      <c r="O227" s="16"/>
      <c r="P227" s="17"/>
      <c r="Q227" s="7">
        <f t="shared" si="4"/>
        <v>0</v>
      </c>
    </row>
    <row r="228" spans="1:17" ht="14.5" customHeight="1" x14ac:dyDescent="0.35">
      <c r="A228" s="26"/>
      <c r="B228" s="27"/>
      <c r="C228" s="18" t="s">
        <v>168</v>
      </c>
      <c r="D228" s="16"/>
      <c r="E228" s="17"/>
      <c r="F228" s="3" t="s">
        <v>169</v>
      </c>
      <c r="G228" s="3" t="s">
        <v>21</v>
      </c>
      <c r="H228" s="4">
        <v>1</v>
      </c>
      <c r="I228" s="4">
        <v>40.284008</v>
      </c>
      <c r="J228" s="5">
        <v>1</v>
      </c>
      <c r="K228" s="4">
        <v>0</v>
      </c>
      <c r="L228" s="6">
        <v>0.99284899999999998</v>
      </c>
      <c r="M228" s="7">
        <v>0</v>
      </c>
      <c r="N228" s="21">
        <v>0.99940300000000004</v>
      </c>
      <c r="O228" s="16"/>
      <c r="P228" s="17"/>
      <c r="Q228" s="7">
        <f t="shared" si="4"/>
        <v>0</v>
      </c>
    </row>
    <row r="229" spans="1:17" x14ac:dyDescent="0.35">
      <c r="A229" s="26"/>
      <c r="B229" s="27"/>
      <c r="C229" s="18" t="s">
        <v>170</v>
      </c>
      <c r="D229" s="16"/>
      <c r="E229" s="17"/>
      <c r="F229" s="3" t="s">
        <v>171</v>
      </c>
      <c r="G229" s="3" t="s">
        <v>21</v>
      </c>
      <c r="H229" s="4">
        <v>1</v>
      </c>
      <c r="I229" s="4">
        <v>40.284008</v>
      </c>
      <c r="J229" s="5">
        <v>1</v>
      </c>
      <c r="K229" s="4">
        <v>0</v>
      </c>
      <c r="L229" s="6">
        <v>0.99870499999999995</v>
      </c>
      <c r="M229" s="7">
        <v>0</v>
      </c>
      <c r="N229" s="21">
        <v>0.99984200000000001</v>
      </c>
      <c r="O229" s="16"/>
      <c r="P229" s="17"/>
      <c r="Q229" s="7">
        <f t="shared" si="4"/>
        <v>0</v>
      </c>
    </row>
    <row r="230" spans="1:17" x14ac:dyDescent="0.35">
      <c r="A230" s="26"/>
      <c r="B230" s="27"/>
      <c r="C230" s="18" t="s">
        <v>172</v>
      </c>
      <c r="D230" s="16"/>
      <c r="E230" s="17"/>
      <c r="F230" s="3" t="s">
        <v>173</v>
      </c>
      <c r="G230" s="3" t="s">
        <v>21</v>
      </c>
      <c r="H230" s="4">
        <v>1</v>
      </c>
      <c r="I230" s="4">
        <v>40.284008</v>
      </c>
      <c r="J230" s="5">
        <v>1</v>
      </c>
      <c r="K230" s="4">
        <v>0</v>
      </c>
      <c r="L230" s="6">
        <v>0.99995900000000004</v>
      </c>
      <c r="M230" s="7">
        <v>0</v>
      </c>
      <c r="N230" s="21">
        <v>0.99657899999999999</v>
      </c>
      <c r="O230" s="16"/>
      <c r="P230" s="17"/>
      <c r="Q230" s="7">
        <f t="shared" si="4"/>
        <v>0</v>
      </c>
    </row>
    <row r="231" spans="1:17" x14ac:dyDescent="0.35">
      <c r="A231" s="26"/>
      <c r="B231" s="27"/>
      <c r="C231" s="18" t="s">
        <v>174</v>
      </c>
      <c r="D231" s="16"/>
      <c r="E231" s="17"/>
      <c r="F231" s="3" t="s">
        <v>175</v>
      </c>
      <c r="G231" s="3" t="s">
        <v>21</v>
      </c>
      <c r="H231" s="4">
        <v>1</v>
      </c>
      <c r="I231" s="4">
        <v>40.284008</v>
      </c>
      <c r="J231" s="5">
        <v>1</v>
      </c>
      <c r="K231" s="4">
        <v>8.9314000000000004E-2</v>
      </c>
      <c r="L231" s="6">
        <v>0.98061699999999996</v>
      </c>
      <c r="M231" s="7">
        <v>0</v>
      </c>
      <c r="N231" s="21">
        <v>0.99997800000000003</v>
      </c>
      <c r="O231" s="16"/>
      <c r="P231" s="17"/>
      <c r="Q231" s="7">
        <f t="shared" si="4"/>
        <v>3.5979258905120002</v>
      </c>
    </row>
    <row r="232" spans="1:17" x14ac:dyDescent="0.35">
      <c r="A232" s="26"/>
      <c r="B232" s="27"/>
      <c r="C232" s="18" t="s">
        <v>176</v>
      </c>
      <c r="D232" s="16"/>
      <c r="E232" s="17"/>
      <c r="F232" s="3" t="s">
        <v>177</v>
      </c>
      <c r="G232" s="3" t="s">
        <v>21</v>
      </c>
      <c r="H232" s="4">
        <v>1</v>
      </c>
      <c r="I232" s="4">
        <v>40.284008</v>
      </c>
      <c r="J232" s="5">
        <v>1</v>
      </c>
      <c r="K232" s="4">
        <v>0</v>
      </c>
      <c r="L232" s="6">
        <v>0.99988299999999997</v>
      </c>
      <c r="M232" s="7">
        <v>0</v>
      </c>
      <c r="N232" s="21">
        <v>0.99990100000000004</v>
      </c>
      <c r="O232" s="16"/>
      <c r="P232" s="17"/>
      <c r="Q232" s="7">
        <f t="shared" si="4"/>
        <v>0</v>
      </c>
    </row>
    <row r="233" spans="1:17" x14ac:dyDescent="0.35">
      <c r="A233" s="26"/>
      <c r="B233" s="27"/>
      <c r="C233" s="18" t="s">
        <v>178</v>
      </c>
      <c r="D233" s="16"/>
      <c r="E233" s="17"/>
      <c r="F233" s="3" t="s">
        <v>179</v>
      </c>
      <c r="G233" s="3" t="s">
        <v>21</v>
      </c>
      <c r="H233" s="4">
        <v>1</v>
      </c>
      <c r="I233" s="4">
        <v>40.284008</v>
      </c>
      <c r="J233" s="5">
        <v>6</v>
      </c>
      <c r="K233" s="4">
        <v>467.317657</v>
      </c>
      <c r="L233" s="8">
        <v>0.88739199999999996</v>
      </c>
      <c r="M233" s="7">
        <v>0</v>
      </c>
      <c r="N233" s="21">
        <v>1</v>
      </c>
      <c r="O233" s="16"/>
      <c r="P233" s="17"/>
      <c r="Q233" s="7">
        <f t="shared" si="4"/>
        <v>112952.56939877554</v>
      </c>
    </row>
    <row r="234" spans="1:17" x14ac:dyDescent="0.35">
      <c r="A234" s="26"/>
      <c r="B234" s="27"/>
      <c r="C234" s="18" t="s">
        <v>180</v>
      </c>
      <c r="D234" s="16"/>
      <c r="E234" s="17"/>
      <c r="F234" s="3" t="s">
        <v>181</v>
      </c>
      <c r="G234" s="3" t="s">
        <v>21</v>
      </c>
      <c r="H234" s="4">
        <v>1</v>
      </c>
      <c r="I234" s="4">
        <v>40.284008</v>
      </c>
      <c r="J234" s="5">
        <v>7</v>
      </c>
      <c r="K234" s="4">
        <v>24.761303000000002</v>
      </c>
      <c r="L234" s="6">
        <v>0.98787100000000005</v>
      </c>
      <c r="M234" s="7">
        <v>0</v>
      </c>
      <c r="N234" s="21">
        <v>0.99999499999999997</v>
      </c>
      <c r="O234" s="16"/>
      <c r="P234" s="17"/>
      <c r="Q234" s="7">
        <f t="shared" si="4"/>
        <v>6982.3916969969687</v>
      </c>
    </row>
    <row r="235" spans="1:17" x14ac:dyDescent="0.35">
      <c r="A235" s="26"/>
      <c r="B235" s="27"/>
      <c r="C235" s="18" t="s">
        <v>182</v>
      </c>
      <c r="D235" s="16"/>
      <c r="E235" s="17"/>
      <c r="F235" s="3" t="s">
        <v>183</v>
      </c>
      <c r="G235" s="3" t="s">
        <v>21</v>
      </c>
      <c r="H235" s="4">
        <v>1</v>
      </c>
      <c r="I235" s="4">
        <v>40.284008</v>
      </c>
      <c r="J235" s="5">
        <v>1</v>
      </c>
      <c r="K235" s="4">
        <v>0</v>
      </c>
      <c r="L235" s="6">
        <v>0.99757799999999996</v>
      </c>
      <c r="M235" s="7">
        <v>0</v>
      </c>
      <c r="N235" s="21">
        <v>1</v>
      </c>
      <c r="O235" s="16"/>
      <c r="P235" s="17"/>
      <c r="Q235" s="7">
        <f t="shared" si="4"/>
        <v>0</v>
      </c>
    </row>
    <row r="236" spans="1:17" x14ac:dyDescent="0.35">
      <c r="A236" s="26"/>
      <c r="B236" s="27"/>
      <c r="C236" s="18" t="s">
        <v>184</v>
      </c>
      <c r="D236" s="16"/>
      <c r="E236" s="17"/>
      <c r="F236" s="3" t="s">
        <v>185</v>
      </c>
      <c r="G236" s="3" t="s">
        <v>21</v>
      </c>
      <c r="H236" s="4">
        <v>1</v>
      </c>
      <c r="I236" s="4">
        <v>40.284008</v>
      </c>
      <c r="J236" s="5">
        <v>9</v>
      </c>
      <c r="K236" s="4">
        <v>16.463659</v>
      </c>
      <c r="L236" s="6">
        <v>0.98532900000000001</v>
      </c>
      <c r="M236" s="7">
        <v>0</v>
      </c>
      <c r="N236" s="21">
        <v>1</v>
      </c>
      <c r="O236" s="16"/>
      <c r="P236" s="17"/>
      <c r="Q236" s="7">
        <f t="shared" si="4"/>
        <v>5968.9995377874484</v>
      </c>
    </row>
    <row r="237" spans="1:17" x14ac:dyDescent="0.35">
      <c r="A237" s="26"/>
      <c r="B237" s="27"/>
      <c r="C237" s="18" t="s">
        <v>186</v>
      </c>
      <c r="D237" s="16"/>
      <c r="E237" s="17"/>
      <c r="F237" s="3" t="s">
        <v>187</v>
      </c>
      <c r="G237" s="3" t="s">
        <v>21</v>
      </c>
      <c r="H237" s="4">
        <v>1</v>
      </c>
      <c r="I237" s="4">
        <v>40.284008</v>
      </c>
      <c r="J237" s="5">
        <v>1</v>
      </c>
      <c r="K237" s="4">
        <v>0</v>
      </c>
      <c r="L237" s="6">
        <v>1</v>
      </c>
      <c r="M237" s="7">
        <v>0</v>
      </c>
      <c r="N237" s="21">
        <v>0.99999400000000005</v>
      </c>
      <c r="O237" s="16"/>
      <c r="P237" s="17"/>
      <c r="Q237" s="7">
        <f t="shared" si="4"/>
        <v>0</v>
      </c>
    </row>
    <row r="238" spans="1:17" x14ac:dyDescent="0.35">
      <c r="A238" s="26"/>
      <c r="B238" s="27"/>
      <c r="C238" s="18" t="s">
        <v>188</v>
      </c>
      <c r="D238" s="16"/>
      <c r="E238" s="17"/>
      <c r="F238" s="3" t="s">
        <v>189</v>
      </c>
      <c r="G238" s="3" t="s">
        <v>21</v>
      </c>
      <c r="H238" s="4">
        <v>1</v>
      </c>
      <c r="I238" s="4">
        <v>40.284008</v>
      </c>
      <c r="J238" s="5">
        <v>12</v>
      </c>
      <c r="K238" s="4">
        <v>321.253443</v>
      </c>
      <c r="L238" s="6">
        <v>0.91293500000000005</v>
      </c>
      <c r="M238" s="7">
        <v>0</v>
      </c>
      <c r="N238" s="21">
        <v>1</v>
      </c>
      <c r="O238" s="16"/>
      <c r="P238" s="17"/>
      <c r="Q238" s="7">
        <f t="shared" si="4"/>
        <v>155296.51521407452</v>
      </c>
    </row>
    <row r="239" spans="1:17" x14ac:dyDescent="0.35">
      <c r="A239" s="26"/>
      <c r="B239" s="27"/>
      <c r="C239" s="18" t="s">
        <v>190</v>
      </c>
      <c r="D239" s="16"/>
      <c r="E239" s="17"/>
      <c r="F239" s="3" t="s">
        <v>191</v>
      </c>
      <c r="G239" s="3" t="s">
        <v>21</v>
      </c>
      <c r="H239" s="4">
        <v>1</v>
      </c>
      <c r="I239" s="4">
        <v>40.284008</v>
      </c>
      <c r="J239" s="5">
        <v>1</v>
      </c>
      <c r="K239" s="4">
        <v>10.041696999999999</v>
      </c>
      <c r="L239" s="6">
        <v>0.95170999999999994</v>
      </c>
      <c r="M239" s="7">
        <v>0</v>
      </c>
      <c r="N239" s="21">
        <v>0.99992800000000004</v>
      </c>
      <c r="O239" s="16"/>
      <c r="P239" s="17"/>
      <c r="Q239" s="7">
        <f t="shared" si="4"/>
        <v>404.51980228157595</v>
      </c>
    </row>
    <row r="240" spans="1:17" x14ac:dyDescent="0.35">
      <c r="A240" s="26"/>
      <c r="B240" s="27"/>
      <c r="C240" s="18" t="s">
        <v>192</v>
      </c>
      <c r="D240" s="16"/>
      <c r="E240" s="17"/>
      <c r="F240" s="3" t="s">
        <v>193</v>
      </c>
      <c r="G240" s="3" t="s">
        <v>21</v>
      </c>
      <c r="H240" s="4">
        <v>1</v>
      </c>
      <c r="I240" s="4">
        <v>40.284008</v>
      </c>
      <c r="J240" s="5">
        <v>9</v>
      </c>
      <c r="K240" s="4">
        <v>271.79252400000001</v>
      </c>
      <c r="L240" s="6">
        <v>0.90154400000000001</v>
      </c>
      <c r="M240" s="7">
        <v>0</v>
      </c>
      <c r="N240" s="21">
        <v>0.99993900000000002</v>
      </c>
      <c r="O240" s="16"/>
      <c r="P240" s="17"/>
      <c r="Q240" s="7">
        <f t="shared" si="4"/>
        <v>98540.029900405731</v>
      </c>
    </row>
    <row r="241" spans="1:17" x14ac:dyDescent="0.35">
      <c r="A241" s="26"/>
      <c r="B241" s="27"/>
      <c r="C241" s="18" t="s">
        <v>194</v>
      </c>
      <c r="D241" s="16"/>
      <c r="E241" s="17"/>
      <c r="F241" s="3" t="s">
        <v>195</v>
      </c>
      <c r="G241" s="3" t="s">
        <v>21</v>
      </c>
      <c r="H241" s="4">
        <v>1</v>
      </c>
      <c r="I241" s="4">
        <v>40.284008</v>
      </c>
      <c r="J241" s="5">
        <v>1</v>
      </c>
      <c r="K241" s="4">
        <v>1.6939420000000001</v>
      </c>
      <c r="L241" s="6">
        <v>0.96335800000000005</v>
      </c>
      <c r="M241" s="7">
        <v>0</v>
      </c>
      <c r="N241" s="21">
        <v>0.99177099999999996</v>
      </c>
      <c r="O241" s="16"/>
      <c r="P241" s="17"/>
      <c r="Q241" s="7">
        <f t="shared" si="4"/>
        <v>68.238773079536003</v>
      </c>
    </row>
    <row r="242" spans="1:17" x14ac:dyDescent="0.35">
      <c r="A242" s="26"/>
      <c r="B242" s="27"/>
      <c r="C242" s="18" t="s">
        <v>196</v>
      </c>
      <c r="D242" s="16"/>
      <c r="E242" s="17"/>
      <c r="F242" s="3" t="s">
        <v>197</v>
      </c>
      <c r="G242" s="3" t="s">
        <v>21</v>
      </c>
      <c r="H242" s="4">
        <v>1</v>
      </c>
      <c r="I242" s="4">
        <v>40.284008</v>
      </c>
      <c r="J242" s="5">
        <v>1</v>
      </c>
      <c r="K242" s="4">
        <v>116.572053</v>
      </c>
      <c r="L242" s="8">
        <v>0.86762399999999995</v>
      </c>
      <c r="M242" s="7">
        <v>745.08519999999999</v>
      </c>
      <c r="N242" s="24">
        <v>0.65517099999999995</v>
      </c>
      <c r="O242" s="16"/>
      <c r="P242" s="17"/>
      <c r="Q242" s="7">
        <f t="shared" si="4"/>
        <v>34711.00767311002</v>
      </c>
    </row>
    <row r="243" spans="1:17" x14ac:dyDescent="0.35">
      <c r="A243" s="26"/>
      <c r="B243" s="27"/>
      <c r="C243" s="18" t="s">
        <v>198</v>
      </c>
      <c r="D243" s="16"/>
      <c r="E243" s="17"/>
      <c r="F243" s="3" t="s">
        <v>199</v>
      </c>
      <c r="G243" s="3" t="s">
        <v>21</v>
      </c>
      <c r="H243" s="4">
        <v>1</v>
      </c>
      <c r="I243" s="4">
        <v>40.284008</v>
      </c>
      <c r="J243" s="5">
        <v>5</v>
      </c>
      <c r="K243" s="4">
        <v>17.037526</v>
      </c>
      <c r="L243" s="6">
        <v>0.94805799999999996</v>
      </c>
      <c r="M243" s="7">
        <v>0</v>
      </c>
      <c r="N243" s="21">
        <v>1</v>
      </c>
      <c r="O243" s="16"/>
      <c r="P243" s="17"/>
      <c r="Q243" s="7">
        <f t="shared" si="4"/>
        <v>3431.6991684210398</v>
      </c>
    </row>
    <row r="244" spans="1:17" x14ac:dyDescent="0.35">
      <c r="A244" s="26"/>
      <c r="B244" s="27"/>
      <c r="C244" s="18" t="s">
        <v>200</v>
      </c>
      <c r="D244" s="16"/>
      <c r="E244" s="17"/>
      <c r="F244" s="3" t="s">
        <v>201</v>
      </c>
      <c r="G244" s="3" t="s">
        <v>21</v>
      </c>
      <c r="H244" s="4">
        <v>1</v>
      </c>
      <c r="I244" s="4">
        <v>40.284008</v>
      </c>
      <c r="J244" s="5">
        <v>1</v>
      </c>
      <c r="K244" s="4">
        <v>5.9910999999999999E-2</v>
      </c>
      <c r="L244" s="6">
        <v>0.98881399999999997</v>
      </c>
      <c r="M244" s="7">
        <v>0</v>
      </c>
      <c r="N244" s="21">
        <v>0.978271</v>
      </c>
      <c r="O244" s="16"/>
      <c r="P244" s="17"/>
      <c r="Q244" s="7">
        <f t="shared" si="4"/>
        <v>2.4134552032880001</v>
      </c>
    </row>
    <row r="245" spans="1:17" x14ac:dyDescent="0.35">
      <c r="A245" s="26"/>
      <c r="B245" s="27"/>
      <c r="C245" s="18" t="s">
        <v>202</v>
      </c>
      <c r="D245" s="16"/>
      <c r="E245" s="17"/>
      <c r="F245" s="3" t="s">
        <v>203</v>
      </c>
      <c r="G245" s="3" t="s">
        <v>21</v>
      </c>
      <c r="H245" s="4">
        <v>1</v>
      </c>
      <c r="I245" s="4">
        <v>40.284008</v>
      </c>
      <c r="J245" s="5">
        <v>1</v>
      </c>
      <c r="K245" s="4">
        <v>0.210841</v>
      </c>
      <c r="L245" s="6">
        <v>0.96493499999999999</v>
      </c>
      <c r="M245" s="7">
        <v>0</v>
      </c>
      <c r="N245" s="21">
        <v>0.99951999999999996</v>
      </c>
      <c r="O245" s="16"/>
      <c r="P245" s="17"/>
      <c r="Q245" s="7">
        <f t="shared" si="4"/>
        <v>8.4935205307280004</v>
      </c>
    </row>
    <row r="246" spans="1:17" x14ac:dyDescent="0.35">
      <c r="A246" s="26"/>
      <c r="B246" s="27"/>
      <c r="C246" s="18" t="s">
        <v>204</v>
      </c>
      <c r="D246" s="16"/>
      <c r="E246" s="17"/>
      <c r="F246" s="3" t="s">
        <v>205</v>
      </c>
      <c r="G246" s="3" t="s">
        <v>21</v>
      </c>
      <c r="H246" s="4">
        <v>1</v>
      </c>
      <c r="I246" s="4">
        <v>40.284008</v>
      </c>
      <c r="J246" s="5">
        <v>1</v>
      </c>
      <c r="K246" s="4">
        <v>0</v>
      </c>
      <c r="L246" s="6">
        <v>0.99595100000000003</v>
      </c>
      <c r="M246" s="7">
        <v>0</v>
      </c>
      <c r="N246" s="21">
        <v>0.96782100000000004</v>
      </c>
      <c r="O246" s="16"/>
      <c r="P246" s="17"/>
      <c r="Q246" s="7">
        <f t="shared" si="4"/>
        <v>0</v>
      </c>
    </row>
    <row r="247" spans="1:17" x14ac:dyDescent="0.35">
      <c r="A247" s="26"/>
      <c r="B247" s="27"/>
      <c r="C247" s="18" t="s">
        <v>206</v>
      </c>
      <c r="D247" s="16"/>
      <c r="E247" s="17"/>
      <c r="F247" s="3" t="s">
        <v>207</v>
      </c>
      <c r="G247" s="3" t="s">
        <v>21</v>
      </c>
      <c r="H247" s="4">
        <v>1</v>
      </c>
      <c r="I247" s="4">
        <v>40.284008</v>
      </c>
      <c r="J247" s="5">
        <v>1</v>
      </c>
      <c r="K247" s="4">
        <v>0.30734499999999998</v>
      </c>
      <c r="L247" s="6">
        <v>0.99377700000000002</v>
      </c>
      <c r="M247" s="7">
        <v>0</v>
      </c>
      <c r="N247" s="21">
        <v>0.97704500000000005</v>
      </c>
      <c r="O247" s="16"/>
      <c r="P247" s="17"/>
      <c r="Q247" s="7">
        <f t="shared" si="4"/>
        <v>12.381088438759999</v>
      </c>
    </row>
    <row r="248" spans="1:17" x14ac:dyDescent="0.35">
      <c r="A248" s="26"/>
      <c r="B248" s="27"/>
      <c r="C248" s="18" t="s">
        <v>208</v>
      </c>
      <c r="D248" s="16"/>
      <c r="E248" s="17"/>
      <c r="F248" s="3" t="s">
        <v>209</v>
      </c>
      <c r="G248" s="3" t="s">
        <v>21</v>
      </c>
      <c r="H248" s="4">
        <v>1</v>
      </c>
      <c r="I248" s="4">
        <v>40.284008</v>
      </c>
      <c r="J248" s="5">
        <v>6</v>
      </c>
      <c r="K248" s="4">
        <v>0</v>
      </c>
      <c r="L248" s="6">
        <v>0.99918899999999999</v>
      </c>
      <c r="M248" s="7">
        <v>114.509</v>
      </c>
      <c r="N248" s="24">
        <v>0.80825599999999997</v>
      </c>
      <c r="O248" s="16"/>
      <c r="P248" s="17"/>
      <c r="Q248" s="7">
        <f t="shared" si="4"/>
        <v>27677.288832431997</v>
      </c>
    </row>
    <row r="249" spans="1:17" x14ac:dyDescent="0.35">
      <c r="A249" s="26"/>
      <c r="B249" s="27"/>
      <c r="C249" s="18" t="s">
        <v>210</v>
      </c>
      <c r="D249" s="16"/>
      <c r="E249" s="17"/>
      <c r="F249" s="3" t="s">
        <v>211</v>
      </c>
      <c r="G249" s="3" t="s">
        <v>21</v>
      </c>
      <c r="H249" s="4">
        <v>1</v>
      </c>
      <c r="I249" s="4">
        <v>40.284008</v>
      </c>
      <c r="J249" s="5">
        <v>12</v>
      </c>
      <c r="K249" s="4">
        <v>0.10791199999999999</v>
      </c>
      <c r="L249" s="6">
        <v>0.98126599999999997</v>
      </c>
      <c r="M249" s="7">
        <v>3.0760000000000001</v>
      </c>
      <c r="N249" s="24">
        <v>0.88586600000000004</v>
      </c>
      <c r="O249" s="16"/>
      <c r="P249" s="17"/>
      <c r="Q249" s="7">
        <f t="shared" si="4"/>
        <v>1539.1288377515521</v>
      </c>
    </row>
    <row r="250" spans="1:17" x14ac:dyDescent="0.35">
      <c r="A250" s="26"/>
      <c r="B250" s="27"/>
      <c r="C250" s="18" t="s">
        <v>212</v>
      </c>
      <c r="D250" s="16"/>
      <c r="E250" s="17"/>
      <c r="F250" s="3" t="s">
        <v>213</v>
      </c>
      <c r="G250" s="3" t="s">
        <v>21</v>
      </c>
      <c r="H250" s="4">
        <v>1</v>
      </c>
      <c r="I250" s="4">
        <v>40.284008</v>
      </c>
      <c r="J250" s="5">
        <v>1</v>
      </c>
      <c r="K250" s="4">
        <v>0</v>
      </c>
      <c r="L250" s="6">
        <v>1</v>
      </c>
      <c r="M250" s="7">
        <v>0</v>
      </c>
      <c r="N250" s="21">
        <v>0.97306099999999995</v>
      </c>
      <c r="O250" s="16"/>
      <c r="P250" s="17"/>
      <c r="Q250" s="7">
        <f t="shared" si="4"/>
        <v>0</v>
      </c>
    </row>
    <row r="251" spans="1:17" x14ac:dyDescent="0.35">
      <c r="A251" s="26"/>
      <c r="B251" s="27"/>
      <c r="C251" s="18" t="s">
        <v>214</v>
      </c>
      <c r="D251" s="16"/>
      <c r="E251" s="17"/>
      <c r="F251" s="3" t="s">
        <v>215</v>
      </c>
      <c r="G251" s="3" t="s">
        <v>21</v>
      </c>
      <c r="H251" s="4">
        <v>1</v>
      </c>
      <c r="I251" s="4">
        <v>40.284008</v>
      </c>
      <c r="J251" s="5">
        <v>1</v>
      </c>
      <c r="K251" s="4">
        <v>2.185886</v>
      </c>
      <c r="L251" s="6">
        <v>0.99758800000000003</v>
      </c>
      <c r="M251" s="7">
        <v>0</v>
      </c>
      <c r="N251" s="21">
        <v>0.99718899999999999</v>
      </c>
      <c r="O251" s="16"/>
      <c r="P251" s="17"/>
      <c r="Q251" s="7">
        <f t="shared" si="4"/>
        <v>88.056249111087993</v>
      </c>
    </row>
    <row r="252" spans="1:17" x14ac:dyDescent="0.35">
      <c r="A252" s="26"/>
      <c r="B252" s="27"/>
      <c r="C252" s="18" t="s">
        <v>216</v>
      </c>
      <c r="D252" s="16"/>
      <c r="E252" s="17"/>
      <c r="F252" s="3" t="s">
        <v>217</v>
      </c>
      <c r="G252" s="3" t="s">
        <v>21</v>
      </c>
      <c r="H252" s="4">
        <v>1</v>
      </c>
      <c r="I252" s="4">
        <v>40.284008</v>
      </c>
      <c r="J252" s="5">
        <v>1</v>
      </c>
      <c r="K252" s="4">
        <v>0</v>
      </c>
      <c r="L252" s="6">
        <v>0.99923300000000004</v>
      </c>
      <c r="M252" s="7">
        <v>0</v>
      </c>
      <c r="N252" s="21">
        <v>0.98507900000000004</v>
      </c>
      <c r="O252" s="16"/>
      <c r="P252" s="17"/>
      <c r="Q252" s="7">
        <f t="shared" si="4"/>
        <v>0</v>
      </c>
    </row>
    <row r="253" spans="1:17" x14ac:dyDescent="0.35">
      <c r="A253" s="26"/>
      <c r="B253" s="27"/>
      <c r="C253" s="18" t="s">
        <v>218</v>
      </c>
      <c r="D253" s="16"/>
      <c r="E253" s="17"/>
      <c r="F253" s="3" t="s">
        <v>219</v>
      </c>
      <c r="G253" s="3" t="s">
        <v>21</v>
      </c>
      <c r="H253" s="4">
        <v>1</v>
      </c>
      <c r="I253" s="4">
        <v>40.284008</v>
      </c>
      <c r="J253" s="5">
        <v>1</v>
      </c>
      <c r="K253" s="4">
        <v>0</v>
      </c>
      <c r="L253" s="6">
        <v>1</v>
      </c>
      <c r="M253" s="7">
        <v>0</v>
      </c>
      <c r="N253" s="21">
        <v>0.98939200000000005</v>
      </c>
      <c r="O253" s="16"/>
      <c r="P253" s="17"/>
      <c r="Q253" s="7">
        <f t="shared" si="4"/>
        <v>0</v>
      </c>
    </row>
    <row r="254" spans="1:17" x14ac:dyDescent="0.35">
      <c r="A254" s="26"/>
      <c r="B254" s="27"/>
      <c r="C254" s="18" t="s">
        <v>220</v>
      </c>
      <c r="D254" s="16"/>
      <c r="E254" s="17"/>
      <c r="F254" s="3" t="s">
        <v>221</v>
      </c>
      <c r="G254" s="3" t="s">
        <v>21</v>
      </c>
      <c r="H254" s="4">
        <v>1</v>
      </c>
      <c r="I254" s="4">
        <v>40.284008</v>
      </c>
      <c r="J254" s="5">
        <v>1</v>
      </c>
      <c r="K254" s="4">
        <v>0.25195400000000001</v>
      </c>
      <c r="L254" s="6">
        <v>0.99429699999999999</v>
      </c>
      <c r="M254" s="7">
        <v>0</v>
      </c>
      <c r="N254" s="21">
        <v>0.99784499999999998</v>
      </c>
      <c r="O254" s="16"/>
      <c r="P254" s="17"/>
      <c r="Q254" s="7">
        <f t="shared" si="4"/>
        <v>10.149716951632</v>
      </c>
    </row>
    <row r="255" spans="1:17" x14ac:dyDescent="0.35">
      <c r="A255" s="26"/>
      <c r="B255" s="27"/>
      <c r="C255" s="18" t="s">
        <v>222</v>
      </c>
      <c r="D255" s="16"/>
      <c r="E255" s="17"/>
      <c r="F255" s="3" t="s">
        <v>223</v>
      </c>
      <c r="G255" s="3" t="s">
        <v>21</v>
      </c>
      <c r="H255" s="4">
        <v>1</v>
      </c>
      <c r="I255" s="4">
        <v>40.284008</v>
      </c>
      <c r="J255" s="5">
        <v>1</v>
      </c>
      <c r="K255" s="4">
        <v>325.93764599999997</v>
      </c>
      <c r="L255" s="6">
        <v>0.95308800000000005</v>
      </c>
      <c r="M255" s="7">
        <v>0</v>
      </c>
      <c r="N255" s="21">
        <v>0.99999099999999996</v>
      </c>
      <c r="O255" s="16"/>
      <c r="P255" s="17"/>
      <c r="Q255" s="7">
        <f t="shared" si="4"/>
        <v>13130.074738965166</v>
      </c>
    </row>
    <row r="256" spans="1:17" ht="14.5" customHeight="1" x14ac:dyDescent="0.35">
      <c r="A256" s="26"/>
      <c r="B256" s="27"/>
      <c r="C256" s="18" t="s">
        <v>224</v>
      </c>
      <c r="D256" s="16"/>
      <c r="E256" s="17"/>
      <c r="F256" s="3" t="s">
        <v>225</v>
      </c>
      <c r="G256" s="3" t="s">
        <v>21</v>
      </c>
      <c r="H256" s="4">
        <v>1</v>
      </c>
      <c r="I256" s="4">
        <v>40.284008</v>
      </c>
      <c r="J256" s="5">
        <v>1</v>
      </c>
      <c r="K256" s="4">
        <f>21.768691+155.05</f>
        <v>176.818691</v>
      </c>
      <c r="L256" s="6">
        <v>0.96104000000000001</v>
      </c>
      <c r="M256" s="7">
        <v>0</v>
      </c>
      <c r="N256" s="21">
        <v>0.99942500000000001</v>
      </c>
      <c r="O256" s="16"/>
      <c r="P256" s="17"/>
      <c r="Q256" s="7">
        <f t="shared" si="4"/>
        <v>7122.9655627935281</v>
      </c>
    </row>
    <row r="257" spans="1:17" x14ac:dyDescent="0.35">
      <c r="A257" s="26"/>
      <c r="B257" s="27"/>
      <c r="C257" s="18" t="s">
        <v>226</v>
      </c>
      <c r="D257" s="16"/>
      <c r="E257" s="17"/>
      <c r="F257" s="3" t="s">
        <v>227</v>
      </c>
      <c r="G257" s="3" t="s">
        <v>21</v>
      </c>
      <c r="H257" s="4">
        <v>1</v>
      </c>
      <c r="I257" s="4">
        <v>40.284008</v>
      </c>
      <c r="J257" s="5">
        <v>1</v>
      </c>
      <c r="K257" s="4">
        <v>0</v>
      </c>
      <c r="L257" s="6">
        <v>0.99538700000000002</v>
      </c>
      <c r="M257" s="7">
        <v>0</v>
      </c>
      <c r="N257" s="21">
        <v>0.998977</v>
      </c>
      <c r="O257" s="16"/>
      <c r="P257" s="17"/>
      <c r="Q257" s="7">
        <f t="shared" si="4"/>
        <v>0</v>
      </c>
    </row>
    <row r="258" spans="1:17" x14ac:dyDescent="0.35">
      <c r="A258" s="26"/>
      <c r="B258" s="27"/>
      <c r="C258" s="18" t="s">
        <v>228</v>
      </c>
      <c r="D258" s="16"/>
      <c r="E258" s="17"/>
      <c r="F258" s="3" t="s">
        <v>229</v>
      </c>
      <c r="G258" s="3" t="s">
        <v>21</v>
      </c>
      <c r="H258" s="4">
        <v>1</v>
      </c>
      <c r="I258" s="4">
        <v>40.284008</v>
      </c>
      <c r="J258" s="5">
        <v>1</v>
      </c>
      <c r="K258" s="4">
        <v>727.09896800000001</v>
      </c>
      <c r="L258" s="8">
        <v>0.83033999999999997</v>
      </c>
      <c r="M258" s="7">
        <v>0</v>
      </c>
      <c r="N258" s="21">
        <v>0.99996300000000005</v>
      </c>
      <c r="O258" s="16"/>
      <c r="P258" s="17"/>
      <c r="Q258" s="7">
        <f t="shared" si="4"/>
        <v>29290.460643703744</v>
      </c>
    </row>
    <row r="259" spans="1:17" x14ac:dyDescent="0.35">
      <c r="A259" s="26"/>
      <c r="B259" s="27"/>
      <c r="C259" s="18" t="s">
        <v>230</v>
      </c>
      <c r="D259" s="16"/>
      <c r="E259" s="17"/>
      <c r="F259" s="3" t="s">
        <v>231</v>
      </c>
      <c r="G259" s="3" t="s">
        <v>21</v>
      </c>
      <c r="H259" s="4">
        <v>1</v>
      </c>
      <c r="I259" s="4">
        <v>40.284008</v>
      </c>
      <c r="J259" s="5">
        <v>1</v>
      </c>
      <c r="K259" s="4">
        <v>425.04208399999999</v>
      </c>
      <c r="L259" s="6">
        <v>0.973105</v>
      </c>
      <c r="M259" s="7">
        <v>0</v>
      </c>
      <c r="N259" s="21">
        <v>1</v>
      </c>
      <c r="O259" s="16"/>
      <c r="P259" s="17"/>
      <c r="Q259" s="7">
        <f t="shared" si="4"/>
        <v>17122.398712192673</v>
      </c>
    </row>
    <row r="260" spans="1:17" x14ac:dyDescent="0.35">
      <c r="A260" s="26"/>
      <c r="B260" s="27"/>
      <c r="C260" s="18" t="s">
        <v>232</v>
      </c>
      <c r="D260" s="16"/>
      <c r="E260" s="17"/>
      <c r="F260" s="3" t="s">
        <v>233</v>
      </c>
      <c r="G260" s="3" t="s">
        <v>21</v>
      </c>
      <c r="H260" s="4">
        <v>1</v>
      </c>
      <c r="I260" s="4">
        <v>40.284008</v>
      </c>
      <c r="J260" s="5">
        <v>1</v>
      </c>
      <c r="K260" s="4">
        <v>2.0437759999999998</v>
      </c>
      <c r="L260" s="6">
        <v>0.96443900000000005</v>
      </c>
      <c r="M260" s="7">
        <v>0</v>
      </c>
      <c r="N260" s="21">
        <v>1</v>
      </c>
      <c r="O260" s="16"/>
      <c r="P260" s="17"/>
      <c r="Q260" s="7">
        <f t="shared" si="4"/>
        <v>82.331488734207994</v>
      </c>
    </row>
    <row r="261" spans="1:17" x14ac:dyDescent="0.35">
      <c r="A261" s="26"/>
      <c r="B261" s="27"/>
      <c r="C261" s="18" t="s">
        <v>234</v>
      </c>
      <c r="D261" s="16"/>
      <c r="E261" s="17"/>
      <c r="F261" s="3" t="s">
        <v>235</v>
      </c>
      <c r="G261" s="3" t="s">
        <v>21</v>
      </c>
      <c r="H261" s="4">
        <v>1</v>
      </c>
      <c r="I261" s="4">
        <v>40.284008</v>
      </c>
      <c r="J261" s="5">
        <v>1</v>
      </c>
      <c r="K261" s="4">
        <v>369.34811999999999</v>
      </c>
      <c r="L261" s="8">
        <v>0.89698900000000004</v>
      </c>
      <c r="M261" s="7">
        <v>0</v>
      </c>
      <c r="N261" s="21">
        <v>1</v>
      </c>
      <c r="O261" s="16"/>
      <c r="P261" s="17"/>
      <c r="Q261" s="7">
        <f t="shared" si="4"/>
        <v>14878.822620864959</v>
      </c>
    </row>
    <row r="262" spans="1:17" x14ac:dyDescent="0.35">
      <c r="A262" s="28"/>
      <c r="B262" s="29"/>
      <c r="C262" s="22" t="s">
        <v>236</v>
      </c>
      <c r="D262" s="16"/>
      <c r="E262" s="16"/>
      <c r="F262" s="17"/>
      <c r="G262" s="23" t="s">
        <v>237</v>
      </c>
      <c r="H262" s="16"/>
      <c r="I262" s="17"/>
      <c r="J262" s="9" t="s">
        <v>4</v>
      </c>
      <c r="K262" s="10">
        <f>SUM(K154:K261)</f>
        <v>13612.058764000001</v>
      </c>
      <c r="L262" s="9" t="s">
        <v>4</v>
      </c>
      <c r="M262" s="10">
        <f>SUM(M154:M261)</f>
        <v>862.67020000000002</v>
      </c>
      <c r="N262" s="22" t="s">
        <v>4</v>
      </c>
      <c r="O262" s="16"/>
      <c r="P262" s="17"/>
      <c r="Q262" s="10">
        <f>SUM(Q154:Q261)</f>
        <v>1684989.1355675759</v>
      </c>
    </row>
    <row r="263" spans="1:17" x14ac:dyDescent="0.35">
      <c r="A263" s="18" t="s">
        <v>238</v>
      </c>
      <c r="B263" s="25"/>
      <c r="C263" s="18" t="s">
        <v>239</v>
      </c>
      <c r="D263" s="16"/>
      <c r="E263" s="17"/>
      <c r="F263" s="3" t="s">
        <v>240</v>
      </c>
      <c r="G263" s="3" t="s">
        <v>21</v>
      </c>
      <c r="H263" s="4">
        <v>1</v>
      </c>
      <c r="I263" s="4">
        <v>36.090417000000002</v>
      </c>
      <c r="J263" s="5">
        <v>1</v>
      </c>
      <c r="K263" s="4">
        <v>25457.715898999999</v>
      </c>
      <c r="L263" s="8">
        <v>0.67550600000000005</v>
      </c>
      <c r="M263" s="7">
        <v>0</v>
      </c>
      <c r="N263" s="21">
        <v>1</v>
      </c>
      <c r="O263" s="16"/>
      <c r="P263" s="17"/>
      <c r="Q263" s="7">
        <f t="shared" ref="Q263:Q287" si="5">((M263+K263)*J263)*I263</f>
        <v>918779.58266243991</v>
      </c>
    </row>
    <row r="264" spans="1:17" x14ac:dyDescent="0.35">
      <c r="A264" s="26"/>
      <c r="B264" s="27"/>
      <c r="C264" s="18" t="s">
        <v>241</v>
      </c>
      <c r="D264" s="16"/>
      <c r="E264" s="17"/>
      <c r="F264" s="3" t="s">
        <v>242</v>
      </c>
      <c r="G264" s="3" t="s">
        <v>21</v>
      </c>
      <c r="H264" s="4">
        <v>1</v>
      </c>
      <c r="I264" s="4">
        <v>36.090417000000002</v>
      </c>
      <c r="J264" s="5">
        <v>1</v>
      </c>
      <c r="K264" s="4">
        <v>0</v>
      </c>
      <c r="L264" s="6">
        <v>0.97576700000000005</v>
      </c>
      <c r="M264" s="7">
        <v>0</v>
      </c>
      <c r="N264" s="21">
        <v>1</v>
      </c>
      <c r="O264" s="16"/>
      <c r="P264" s="17"/>
      <c r="Q264" s="7">
        <f t="shared" si="5"/>
        <v>0</v>
      </c>
    </row>
    <row r="265" spans="1:17" x14ac:dyDescent="0.35">
      <c r="A265" s="26"/>
      <c r="B265" s="27"/>
      <c r="C265" s="18" t="s">
        <v>243</v>
      </c>
      <c r="D265" s="16"/>
      <c r="E265" s="17"/>
      <c r="F265" s="3" t="s">
        <v>244</v>
      </c>
      <c r="G265" s="3" t="s">
        <v>21</v>
      </c>
      <c r="H265" s="4">
        <v>1</v>
      </c>
      <c r="I265" s="4">
        <v>36.090417000000002</v>
      </c>
      <c r="J265" s="5">
        <v>1</v>
      </c>
      <c r="K265" s="4">
        <v>52.827254000000003</v>
      </c>
      <c r="L265" s="6">
        <v>0.99011300000000002</v>
      </c>
      <c r="M265" s="7">
        <v>0</v>
      </c>
      <c r="N265" s="21">
        <v>1</v>
      </c>
      <c r="O265" s="16"/>
      <c r="P265" s="17"/>
      <c r="Q265" s="7">
        <f t="shared" si="5"/>
        <v>1906.5576258249182</v>
      </c>
    </row>
    <row r="266" spans="1:17" x14ac:dyDescent="0.35">
      <c r="A266" s="26"/>
      <c r="B266" s="27"/>
      <c r="C266" s="18" t="s">
        <v>245</v>
      </c>
      <c r="D266" s="16"/>
      <c r="E266" s="17"/>
      <c r="F266" s="3" t="s">
        <v>246</v>
      </c>
      <c r="G266" s="3" t="s">
        <v>21</v>
      </c>
      <c r="H266" s="4">
        <v>1</v>
      </c>
      <c r="I266" s="4">
        <v>36.090417000000002</v>
      </c>
      <c r="J266" s="5">
        <v>1</v>
      </c>
      <c r="K266" s="4">
        <v>1471.224584</v>
      </c>
      <c r="L266" s="6">
        <v>0.93930400000000003</v>
      </c>
      <c r="M266" s="7">
        <v>0</v>
      </c>
      <c r="N266" s="21">
        <v>1</v>
      </c>
      <c r="O266" s="16"/>
      <c r="P266" s="17"/>
      <c r="Q266" s="7">
        <f t="shared" si="5"/>
        <v>53097.108737211536</v>
      </c>
    </row>
    <row r="267" spans="1:17" x14ac:dyDescent="0.35">
      <c r="A267" s="26"/>
      <c r="B267" s="27"/>
      <c r="C267" s="18" t="s">
        <v>247</v>
      </c>
      <c r="D267" s="16"/>
      <c r="E267" s="17"/>
      <c r="F267" s="3" t="s">
        <v>248</v>
      </c>
      <c r="G267" s="3" t="s">
        <v>21</v>
      </c>
      <c r="H267" s="4">
        <v>1</v>
      </c>
      <c r="I267" s="4">
        <v>36.090417000000002</v>
      </c>
      <c r="J267" s="5">
        <v>1</v>
      </c>
      <c r="K267" s="4">
        <v>0</v>
      </c>
      <c r="L267" s="6">
        <v>0.98039699999999996</v>
      </c>
      <c r="M267" s="7">
        <v>0</v>
      </c>
      <c r="N267" s="21">
        <v>0.99457799999999996</v>
      </c>
      <c r="O267" s="16"/>
      <c r="P267" s="17"/>
      <c r="Q267" s="7">
        <f t="shared" si="5"/>
        <v>0</v>
      </c>
    </row>
    <row r="268" spans="1:17" x14ac:dyDescent="0.35">
      <c r="A268" s="26"/>
      <c r="B268" s="27"/>
      <c r="C268" s="18" t="s">
        <v>249</v>
      </c>
      <c r="D268" s="16"/>
      <c r="E268" s="17"/>
      <c r="F268" s="3" t="s">
        <v>250</v>
      </c>
      <c r="G268" s="3" t="s">
        <v>21</v>
      </c>
      <c r="H268" s="4">
        <v>1</v>
      </c>
      <c r="I268" s="4">
        <v>36.090417000000002</v>
      </c>
      <c r="J268" s="5">
        <v>1</v>
      </c>
      <c r="K268" s="4">
        <v>0</v>
      </c>
      <c r="L268" s="6">
        <v>0.99662399999999995</v>
      </c>
      <c r="M268" s="7">
        <v>0</v>
      </c>
      <c r="N268" s="21">
        <v>0.999996</v>
      </c>
      <c r="O268" s="16"/>
      <c r="P268" s="17"/>
      <c r="Q268" s="7">
        <f t="shared" si="5"/>
        <v>0</v>
      </c>
    </row>
    <row r="269" spans="1:17" x14ac:dyDescent="0.35">
      <c r="A269" s="26"/>
      <c r="B269" s="27"/>
      <c r="C269" s="18" t="s">
        <v>251</v>
      </c>
      <c r="D269" s="16"/>
      <c r="E269" s="17"/>
      <c r="F269" s="3" t="s">
        <v>252</v>
      </c>
      <c r="G269" s="3" t="s">
        <v>21</v>
      </c>
      <c r="H269" s="4">
        <v>1</v>
      </c>
      <c r="I269" s="4">
        <v>36.090417000000002</v>
      </c>
      <c r="J269" s="5">
        <v>1</v>
      </c>
      <c r="K269" s="4">
        <v>0</v>
      </c>
      <c r="L269" s="6">
        <v>0.99932799999999999</v>
      </c>
      <c r="M269" s="7">
        <v>0</v>
      </c>
      <c r="N269" s="21">
        <v>0.99839999999999995</v>
      </c>
      <c r="O269" s="16"/>
      <c r="P269" s="17"/>
      <c r="Q269" s="7">
        <f t="shared" si="5"/>
        <v>0</v>
      </c>
    </row>
    <row r="270" spans="1:17" x14ac:dyDescent="0.35">
      <c r="A270" s="26"/>
      <c r="B270" s="27"/>
      <c r="C270" s="18" t="s">
        <v>253</v>
      </c>
      <c r="D270" s="16"/>
      <c r="E270" s="17"/>
      <c r="F270" s="3" t="s">
        <v>254</v>
      </c>
      <c r="G270" s="3" t="s">
        <v>21</v>
      </c>
      <c r="H270" s="4">
        <v>1</v>
      </c>
      <c r="I270" s="4">
        <v>36.090417000000002</v>
      </c>
      <c r="J270" s="5">
        <v>1</v>
      </c>
      <c r="K270" s="4">
        <v>61.992871999999998</v>
      </c>
      <c r="L270" s="6">
        <v>0.91984299999999997</v>
      </c>
      <c r="M270" s="7">
        <v>0</v>
      </c>
      <c r="N270" s="21">
        <v>1</v>
      </c>
      <c r="O270" s="16"/>
      <c r="P270" s="17"/>
      <c r="Q270" s="7">
        <f t="shared" si="5"/>
        <v>2237.3486015076242</v>
      </c>
    </row>
    <row r="271" spans="1:17" x14ac:dyDescent="0.35">
      <c r="A271" s="26"/>
      <c r="B271" s="27"/>
      <c r="C271" s="18" t="s">
        <v>255</v>
      </c>
      <c r="D271" s="16"/>
      <c r="E271" s="17"/>
      <c r="F271" s="3" t="s">
        <v>256</v>
      </c>
      <c r="G271" s="3" t="s">
        <v>21</v>
      </c>
      <c r="H271" s="4">
        <v>1</v>
      </c>
      <c r="I271" s="4">
        <v>36.090417000000002</v>
      </c>
      <c r="J271" s="5">
        <v>1</v>
      </c>
      <c r="K271" s="4">
        <v>454.07978800000001</v>
      </c>
      <c r="L271" s="6">
        <v>0.97757799999999995</v>
      </c>
      <c r="M271" s="7">
        <v>0</v>
      </c>
      <c r="N271" s="21">
        <v>1</v>
      </c>
      <c r="O271" s="16"/>
      <c r="P271" s="17"/>
      <c r="Q271" s="7">
        <f t="shared" si="5"/>
        <v>16387.928900191597</v>
      </c>
    </row>
    <row r="272" spans="1:17" x14ac:dyDescent="0.35">
      <c r="A272" s="26"/>
      <c r="B272" s="27"/>
      <c r="C272" s="18" t="s">
        <v>257</v>
      </c>
      <c r="D272" s="16"/>
      <c r="E272" s="17"/>
      <c r="F272" s="3" t="s">
        <v>258</v>
      </c>
      <c r="G272" s="3" t="s">
        <v>21</v>
      </c>
      <c r="H272" s="4">
        <v>1</v>
      </c>
      <c r="I272" s="4">
        <v>36.090417000000002</v>
      </c>
      <c r="J272" s="5">
        <v>1</v>
      </c>
      <c r="K272" s="4">
        <v>0</v>
      </c>
      <c r="L272" s="6">
        <v>0.92129700000000003</v>
      </c>
      <c r="M272" s="7">
        <v>0</v>
      </c>
      <c r="N272" s="21">
        <v>1</v>
      </c>
      <c r="O272" s="16"/>
      <c r="P272" s="17"/>
      <c r="Q272" s="7">
        <f t="shared" si="5"/>
        <v>0</v>
      </c>
    </row>
    <row r="273" spans="1:17" x14ac:dyDescent="0.35">
      <c r="A273" s="26"/>
      <c r="B273" s="27"/>
      <c r="C273" s="18" t="s">
        <v>259</v>
      </c>
      <c r="D273" s="16"/>
      <c r="E273" s="17"/>
      <c r="F273" s="3" t="s">
        <v>260</v>
      </c>
      <c r="G273" s="3" t="s">
        <v>21</v>
      </c>
      <c r="H273" s="4">
        <v>1</v>
      </c>
      <c r="I273" s="4">
        <v>36.090417000000002</v>
      </c>
      <c r="J273" s="5">
        <v>1</v>
      </c>
      <c r="K273" s="4">
        <v>0</v>
      </c>
      <c r="L273" s="6">
        <v>0.958009</v>
      </c>
      <c r="M273" s="7">
        <v>0</v>
      </c>
      <c r="N273" s="21">
        <v>1</v>
      </c>
      <c r="O273" s="16"/>
      <c r="P273" s="17"/>
      <c r="Q273" s="7">
        <f t="shared" si="5"/>
        <v>0</v>
      </c>
    </row>
    <row r="274" spans="1:17" x14ac:dyDescent="0.35">
      <c r="A274" s="26"/>
      <c r="B274" s="27"/>
      <c r="C274" s="18" t="s">
        <v>261</v>
      </c>
      <c r="D274" s="16"/>
      <c r="E274" s="17"/>
      <c r="F274" s="3" t="s">
        <v>262</v>
      </c>
      <c r="G274" s="3" t="s">
        <v>21</v>
      </c>
      <c r="H274" s="4">
        <v>1</v>
      </c>
      <c r="I274" s="4">
        <v>36.090417000000002</v>
      </c>
      <c r="J274" s="5">
        <v>1</v>
      </c>
      <c r="K274" s="4">
        <v>90.764612999999997</v>
      </c>
      <c r="L274" s="6">
        <v>0.93377900000000003</v>
      </c>
      <c r="M274" s="7">
        <v>0</v>
      </c>
      <c r="N274" s="21">
        <v>1</v>
      </c>
      <c r="O274" s="16"/>
      <c r="P274" s="17"/>
      <c r="Q274" s="7">
        <f t="shared" si="5"/>
        <v>3275.732732013621</v>
      </c>
    </row>
    <row r="275" spans="1:17" x14ac:dyDescent="0.35">
      <c r="A275" s="26"/>
      <c r="B275" s="27"/>
      <c r="C275" s="18" t="s">
        <v>263</v>
      </c>
      <c r="D275" s="16"/>
      <c r="E275" s="17"/>
      <c r="F275" s="3" t="s">
        <v>264</v>
      </c>
      <c r="G275" s="3" t="s">
        <v>21</v>
      </c>
      <c r="H275" s="4">
        <v>1</v>
      </c>
      <c r="I275" s="4">
        <v>36.090417000000002</v>
      </c>
      <c r="J275" s="5">
        <v>12</v>
      </c>
      <c r="K275" s="4">
        <v>607.63335700000005</v>
      </c>
      <c r="L275" s="6">
        <v>0.92559000000000002</v>
      </c>
      <c r="M275" s="7">
        <v>0</v>
      </c>
      <c r="N275" s="21">
        <v>1</v>
      </c>
      <c r="O275" s="16"/>
      <c r="P275" s="17"/>
      <c r="Q275" s="7">
        <f t="shared" si="5"/>
        <v>263156.89484687842</v>
      </c>
    </row>
    <row r="276" spans="1:17" x14ac:dyDescent="0.35">
      <c r="A276" s="26"/>
      <c r="B276" s="27"/>
      <c r="C276" s="18" t="s">
        <v>265</v>
      </c>
      <c r="D276" s="16"/>
      <c r="E276" s="17"/>
      <c r="F276" s="3" t="s">
        <v>266</v>
      </c>
      <c r="G276" s="3" t="s">
        <v>21</v>
      </c>
      <c r="H276" s="4">
        <v>1</v>
      </c>
      <c r="I276" s="4">
        <v>36.090417000000002</v>
      </c>
      <c r="J276" s="5">
        <v>1</v>
      </c>
      <c r="K276" s="4">
        <v>588.52951099999996</v>
      </c>
      <c r="L276" s="6">
        <v>0.91407499999999997</v>
      </c>
      <c r="M276" s="7">
        <v>0</v>
      </c>
      <c r="N276" s="21">
        <v>1</v>
      </c>
      <c r="O276" s="16"/>
      <c r="P276" s="17"/>
      <c r="Q276" s="7">
        <f t="shared" si="5"/>
        <v>21240.275468796088</v>
      </c>
    </row>
    <row r="277" spans="1:17" x14ac:dyDescent="0.35">
      <c r="A277" s="26"/>
      <c r="B277" s="27"/>
      <c r="C277" s="18" t="s">
        <v>267</v>
      </c>
      <c r="D277" s="16"/>
      <c r="E277" s="17"/>
      <c r="F277" s="3" t="s">
        <v>268</v>
      </c>
      <c r="G277" s="3" t="s">
        <v>21</v>
      </c>
      <c r="H277" s="4">
        <v>1</v>
      </c>
      <c r="I277" s="4">
        <v>36.090417000000002</v>
      </c>
      <c r="J277" s="5">
        <v>1</v>
      </c>
      <c r="K277" s="4">
        <v>0</v>
      </c>
      <c r="L277" s="6">
        <v>0.95200200000000001</v>
      </c>
      <c r="M277" s="7">
        <v>0</v>
      </c>
      <c r="N277" s="21">
        <v>1</v>
      </c>
      <c r="O277" s="16"/>
      <c r="P277" s="17"/>
      <c r="Q277" s="7">
        <f t="shared" si="5"/>
        <v>0</v>
      </c>
    </row>
    <row r="278" spans="1:17" x14ac:dyDescent="0.35">
      <c r="A278" s="26"/>
      <c r="B278" s="27"/>
      <c r="C278" s="18" t="s">
        <v>269</v>
      </c>
      <c r="D278" s="16"/>
      <c r="E278" s="17"/>
      <c r="F278" s="3" t="s">
        <v>270</v>
      </c>
      <c r="G278" s="3" t="s">
        <v>21</v>
      </c>
      <c r="H278" s="4">
        <v>1</v>
      </c>
      <c r="I278" s="4">
        <v>36.090417000000002</v>
      </c>
      <c r="J278" s="5">
        <v>1</v>
      </c>
      <c r="K278" s="4">
        <v>2480.7035780000001</v>
      </c>
      <c r="L278" s="8">
        <v>0.89995199999999997</v>
      </c>
      <c r="M278" s="7">
        <v>0</v>
      </c>
      <c r="N278" s="21">
        <v>1</v>
      </c>
      <c r="O278" s="16"/>
      <c r="P278" s="17"/>
      <c r="Q278" s="7">
        <f t="shared" si="5"/>
        <v>89529.626583412042</v>
      </c>
    </row>
    <row r="279" spans="1:17" x14ac:dyDescent="0.35">
      <c r="A279" s="26"/>
      <c r="B279" s="27"/>
      <c r="C279" s="18" t="s">
        <v>271</v>
      </c>
      <c r="D279" s="16"/>
      <c r="E279" s="17"/>
      <c r="F279" s="3" t="s">
        <v>272</v>
      </c>
      <c r="G279" s="3" t="s">
        <v>21</v>
      </c>
      <c r="H279" s="4">
        <v>1</v>
      </c>
      <c r="I279" s="4">
        <v>36.090417000000002</v>
      </c>
      <c r="J279" s="5">
        <v>1</v>
      </c>
      <c r="K279" s="4">
        <v>2381.5579170000001</v>
      </c>
      <c r="L279" s="6">
        <v>0.90232500000000004</v>
      </c>
      <c r="M279" s="7">
        <v>8439.09</v>
      </c>
      <c r="N279" s="24">
        <v>0.61697299999999999</v>
      </c>
      <c r="O279" s="16"/>
      <c r="P279" s="17"/>
      <c r="Q279" s="7">
        <f t="shared" si="5"/>
        <v>390521.69553471141</v>
      </c>
    </row>
    <row r="280" spans="1:17" x14ac:dyDescent="0.35">
      <c r="A280" s="26"/>
      <c r="B280" s="27"/>
      <c r="C280" s="18" t="s">
        <v>273</v>
      </c>
      <c r="D280" s="16"/>
      <c r="E280" s="17"/>
      <c r="F280" s="3" t="s">
        <v>274</v>
      </c>
      <c r="G280" s="3" t="s">
        <v>21</v>
      </c>
      <c r="H280" s="4">
        <v>1</v>
      </c>
      <c r="I280" s="4">
        <v>36.090417000000002</v>
      </c>
      <c r="J280" s="5">
        <v>1</v>
      </c>
      <c r="K280" s="4">
        <v>0</v>
      </c>
      <c r="L280" s="6">
        <v>0.97392100000000004</v>
      </c>
      <c r="M280" s="7">
        <v>0</v>
      </c>
      <c r="N280" s="21">
        <v>1</v>
      </c>
      <c r="O280" s="16"/>
      <c r="P280" s="17"/>
      <c r="Q280" s="7">
        <f t="shared" si="5"/>
        <v>0</v>
      </c>
    </row>
    <row r="281" spans="1:17" x14ac:dyDescent="0.35">
      <c r="A281" s="26"/>
      <c r="B281" s="27"/>
      <c r="C281" s="18" t="s">
        <v>275</v>
      </c>
      <c r="D281" s="16"/>
      <c r="E281" s="17"/>
      <c r="F281" s="3" t="s">
        <v>276</v>
      </c>
      <c r="G281" s="3" t="s">
        <v>21</v>
      </c>
      <c r="H281" s="4">
        <v>1</v>
      </c>
      <c r="I281" s="4">
        <v>36.090417000000002</v>
      </c>
      <c r="J281" s="5">
        <v>1</v>
      </c>
      <c r="K281" s="4">
        <v>0</v>
      </c>
      <c r="L281" s="6">
        <v>0.99998699999999996</v>
      </c>
      <c r="M281" s="7">
        <v>0</v>
      </c>
      <c r="N281" s="21">
        <v>0.99993100000000001</v>
      </c>
      <c r="O281" s="16"/>
      <c r="P281" s="17"/>
      <c r="Q281" s="7">
        <f t="shared" si="5"/>
        <v>0</v>
      </c>
    </row>
    <row r="282" spans="1:17" x14ac:dyDescent="0.35">
      <c r="A282" s="26"/>
      <c r="B282" s="27"/>
      <c r="C282" s="18" t="s">
        <v>277</v>
      </c>
      <c r="D282" s="16"/>
      <c r="E282" s="17"/>
      <c r="F282" s="3" t="s">
        <v>278</v>
      </c>
      <c r="G282" s="3" t="s">
        <v>21</v>
      </c>
      <c r="H282" s="4">
        <v>1</v>
      </c>
      <c r="I282" s="4">
        <v>36.090417000000002</v>
      </c>
      <c r="J282" s="5">
        <v>1</v>
      </c>
      <c r="K282" s="4">
        <v>0</v>
      </c>
      <c r="L282" s="6">
        <v>0.99767399999999995</v>
      </c>
      <c r="M282" s="7">
        <v>0</v>
      </c>
      <c r="N282" s="21">
        <v>0.99994300000000003</v>
      </c>
      <c r="O282" s="16"/>
      <c r="P282" s="17"/>
      <c r="Q282" s="7">
        <f t="shared" si="5"/>
        <v>0</v>
      </c>
    </row>
    <row r="283" spans="1:17" x14ac:dyDescent="0.35">
      <c r="A283" s="26"/>
      <c r="B283" s="27"/>
      <c r="C283" s="18" t="s">
        <v>279</v>
      </c>
      <c r="D283" s="16"/>
      <c r="E283" s="17"/>
      <c r="F283" s="3" t="s">
        <v>280</v>
      </c>
      <c r="G283" s="3" t="s">
        <v>21</v>
      </c>
      <c r="H283" s="4">
        <v>1</v>
      </c>
      <c r="I283" s="4">
        <v>36.090417000000002</v>
      </c>
      <c r="J283" s="5">
        <v>1</v>
      </c>
      <c r="K283" s="4">
        <v>8.5795150000000007</v>
      </c>
      <c r="L283" s="6">
        <v>0.99038099999999996</v>
      </c>
      <c r="M283" s="7">
        <v>0</v>
      </c>
      <c r="N283" s="21">
        <v>1</v>
      </c>
      <c r="O283" s="16"/>
      <c r="P283" s="17"/>
      <c r="Q283" s="7">
        <f t="shared" si="5"/>
        <v>309.63827400775506</v>
      </c>
    </row>
    <row r="284" spans="1:17" x14ac:dyDescent="0.35">
      <c r="A284" s="26"/>
      <c r="B284" s="27"/>
      <c r="C284" s="18" t="s">
        <v>281</v>
      </c>
      <c r="D284" s="16"/>
      <c r="E284" s="17"/>
      <c r="F284" s="3" t="s">
        <v>282</v>
      </c>
      <c r="G284" s="3" t="s">
        <v>21</v>
      </c>
      <c r="H284" s="4">
        <v>1</v>
      </c>
      <c r="I284" s="4">
        <v>36.090417000000002</v>
      </c>
      <c r="J284" s="5">
        <v>1</v>
      </c>
      <c r="K284" s="4">
        <v>18.201364000000002</v>
      </c>
      <c r="L284" s="6">
        <v>0.94989299999999999</v>
      </c>
      <c r="M284" s="7">
        <v>0</v>
      </c>
      <c r="N284" s="21">
        <v>1</v>
      </c>
      <c r="O284" s="16"/>
      <c r="P284" s="17"/>
      <c r="Q284" s="7">
        <f t="shared" si="5"/>
        <v>656.8948167287881</v>
      </c>
    </row>
    <row r="285" spans="1:17" x14ac:dyDescent="0.35">
      <c r="A285" s="26"/>
      <c r="B285" s="27"/>
      <c r="C285" s="18" t="s">
        <v>283</v>
      </c>
      <c r="D285" s="16"/>
      <c r="E285" s="17"/>
      <c r="F285" s="3" t="s">
        <v>284</v>
      </c>
      <c r="G285" s="3" t="s">
        <v>21</v>
      </c>
      <c r="H285" s="4">
        <v>1</v>
      </c>
      <c r="I285" s="4">
        <v>36.090417000000002</v>
      </c>
      <c r="J285" s="5">
        <v>1</v>
      </c>
      <c r="K285" s="4">
        <v>0</v>
      </c>
      <c r="L285" s="6">
        <v>0.990838</v>
      </c>
      <c r="M285" s="7">
        <v>0</v>
      </c>
      <c r="N285" s="21">
        <v>0.99594899999999997</v>
      </c>
      <c r="O285" s="16"/>
      <c r="P285" s="17"/>
      <c r="Q285" s="7">
        <f t="shared" si="5"/>
        <v>0</v>
      </c>
    </row>
    <row r="286" spans="1:17" x14ac:dyDescent="0.35">
      <c r="A286" s="26"/>
      <c r="B286" s="27"/>
      <c r="C286" s="18" t="s">
        <v>285</v>
      </c>
      <c r="D286" s="16"/>
      <c r="E286" s="17"/>
      <c r="F286" s="3" t="s">
        <v>286</v>
      </c>
      <c r="G286" s="3" t="s">
        <v>21</v>
      </c>
      <c r="H286" s="4">
        <v>1</v>
      </c>
      <c r="I286" s="4">
        <v>36.090417000000002</v>
      </c>
      <c r="J286" s="5">
        <v>12</v>
      </c>
      <c r="K286" s="4">
        <v>173.31332699999999</v>
      </c>
      <c r="L286" s="6">
        <v>0.97175100000000003</v>
      </c>
      <c r="M286" s="7">
        <v>0</v>
      </c>
      <c r="N286" s="21">
        <v>0.97533599999999998</v>
      </c>
      <c r="O286" s="16"/>
      <c r="P286" s="17"/>
      <c r="Q286" s="7">
        <f t="shared" si="5"/>
        <v>75059.402917048312</v>
      </c>
    </row>
    <row r="287" spans="1:17" x14ac:dyDescent="0.35">
      <c r="A287" s="26"/>
      <c r="B287" s="27"/>
      <c r="C287" s="18" t="s">
        <v>287</v>
      </c>
      <c r="D287" s="16"/>
      <c r="E287" s="17"/>
      <c r="F287" s="3" t="s">
        <v>288</v>
      </c>
      <c r="G287" s="3" t="s">
        <v>21</v>
      </c>
      <c r="H287" s="4">
        <v>1</v>
      </c>
      <c r="I287" s="4">
        <v>36.090417000000002</v>
      </c>
      <c r="J287" s="5">
        <v>1</v>
      </c>
      <c r="K287" s="4">
        <v>10.900277000000001</v>
      </c>
      <c r="L287" s="6">
        <v>0.95345599999999997</v>
      </c>
      <c r="M287" s="7">
        <v>0</v>
      </c>
      <c r="N287" s="21">
        <v>1</v>
      </c>
      <c r="O287" s="16"/>
      <c r="P287" s="17"/>
      <c r="Q287" s="7">
        <f t="shared" si="5"/>
        <v>393.39554234550906</v>
      </c>
    </row>
    <row r="288" spans="1:17" x14ac:dyDescent="0.35">
      <c r="A288" s="28"/>
      <c r="B288" s="29"/>
      <c r="C288" s="22" t="s">
        <v>236</v>
      </c>
      <c r="D288" s="16"/>
      <c r="E288" s="16"/>
      <c r="F288" s="17"/>
      <c r="G288" s="23" t="s">
        <v>289</v>
      </c>
      <c r="H288" s="16"/>
      <c r="I288" s="17"/>
      <c r="J288" s="9" t="s">
        <v>4</v>
      </c>
      <c r="K288" s="11">
        <v>33858.023856</v>
      </c>
      <c r="L288" s="9" t="s">
        <v>4</v>
      </c>
      <c r="M288" s="10">
        <v>8439.09</v>
      </c>
      <c r="N288" s="22" t="s">
        <v>4</v>
      </c>
      <c r="O288" s="16"/>
      <c r="P288" s="17"/>
      <c r="Q288" s="10">
        <f>SUM(Q263:Q287)</f>
        <v>1836552.0832431172</v>
      </c>
    </row>
    <row r="289" spans="1:17" x14ac:dyDescent="0.35">
      <c r="A289" s="15" t="s">
        <v>295</v>
      </c>
      <c r="B289" s="16"/>
      <c r="C289" s="16"/>
      <c r="D289" s="16"/>
      <c r="E289" s="16"/>
      <c r="F289" s="17"/>
      <c r="G289" s="18" t="s">
        <v>4</v>
      </c>
      <c r="H289" s="16"/>
      <c r="I289" s="17"/>
      <c r="J289" s="12" t="s">
        <v>4</v>
      </c>
      <c r="K289" s="13">
        <f>K288+K262</f>
        <v>47470.082620000001</v>
      </c>
      <c r="L289" s="12" t="s">
        <v>4</v>
      </c>
      <c r="M289" s="13">
        <f>M288+M262</f>
        <v>9301.7602000000006</v>
      </c>
      <c r="N289" s="15" t="s">
        <v>4</v>
      </c>
      <c r="O289" s="16"/>
      <c r="P289" s="17"/>
      <c r="Q289" s="13">
        <f>Q288+Q262</f>
        <v>3521541.2188106934</v>
      </c>
    </row>
    <row r="290" spans="1:17" ht="0" hidden="1" customHeight="1" x14ac:dyDescent="0.35"/>
    <row r="291" spans="1:17" ht="16.649999999999999" customHeight="1" x14ac:dyDescent="0.35"/>
    <row r="292" spans="1:17" x14ac:dyDescent="0.35">
      <c r="B292" s="19" t="s">
        <v>296</v>
      </c>
      <c r="C292" s="20"/>
      <c r="D292" s="20"/>
      <c r="E292" s="20"/>
      <c r="F292" s="20"/>
      <c r="G292" s="20"/>
      <c r="H292" s="20"/>
      <c r="I292" s="20"/>
      <c r="J292" s="20"/>
      <c r="K292" s="14">
        <f>Q289+Q149</f>
        <v>21574254.837085001</v>
      </c>
    </row>
    <row r="293" spans="1:17" ht="0" hidden="1" customHeight="1" x14ac:dyDescent="0.35"/>
  </sheetData>
  <mergeCells count="572">
    <mergeCell ref="A2:C5"/>
    <mergeCell ref="E3:O3"/>
    <mergeCell ref="D4:N4"/>
    <mergeCell ref="A8:K8"/>
    <mergeCell ref="A10:K10"/>
    <mergeCell ref="A12:B12"/>
    <mergeCell ref="C12:E12"/>
    <mergeCell ref="G12:Q12"/>
    <mergeCell ref="C17:E17"/>
    <mergeCell ref="N17:P17"/>
    <mergeCell ref="C18:E18"/>
    <mergeCell ref="N18:P18"/>
    <mergeCell ref="C19:E19"/>
    <mergeCell ref="N19:P19"/>
    <mergeCell ref="A13:B13"/>
    <mergeCell ref="C13:E13"/>
    <mergeCell ref="N13:P13"/>
    <mergeCell ref="A14:B122"/>
    <mergeCell ref="C14:E14"/>
    <mergeCell ref="N14:P14"/>
    <mergeCell ref="C15:E15"/>
    <mergeCell ref="N15:P15"/>
    <mergeCell ref="C16:E16"/>
    <mergeCell ref="N16:P16"/>
    <mergeCell ref="C23:E23"/>
    <mergeCell ref="N23:P23"/>
    <mergeCell ref="C24:E24"/>
    <mergeCell ref="N24:P24"/>
    <mergeCell ref="C25:E25"/>
    <mergeCell ref="N25:P25"/>
    <mergeCell ref="C20:E20"/>
    <mergeCell ref="N20:P20"/>
    <mergeCell ref="C21:E21"/>
    <mergeCell ref="N21:P21"/>
    <mergeCell ref="C22:E22"/>
    <mergeCell ref="N22:P22"/>
    <mergeCell ref="C29:E29"/>
    <mergeCell ref="N29:P29"/>
    <mergeCell ref="C30:E30"/>
    <mergeCell ref="N30:P30"/>
    <mergeCell ref="C31:E31"/>
    <mergeCell ref="N31:P31"/>
    <mergeCell ref="C26:E26"/>
    <mergeCell ref="N26:P26"/>
    <mergeCell ref="C27:E27"/>
    <mergeCell ref="N27:P27"/>
    <mergeCell ref="C28:E28"/>
    <mergeCell ref="N28:P28"/>
    <mergeCell ref="C35:E35"/>
    <mergeCell ref="N35:P35"/>
    <mergeCell ref="C36:E36"/>
    <mergeCell ref="N36:P36"/>
    <mergeCell ref="C37:E37"/>
    <mergeCell ref="N37:P37"/>
    <mergeCell ref="C32:E32"/>
    <mergeCell ref="N32:P32"/>
    <mergeCell ref="C33:E33"/>
    <mergeCell ref="N33:P33"/>
    <mergeCell ref="C34:E34"/>
    <mergeCell ref="N34:P34"/>
    <mergeCell ref="C41:E41"/>
    <mergeCell ref="N41:P41"/>
    <mergeCell ref="C42:E42"/>
    <mergeCell ref="N42:P42"/>
    <mergeCell ref="C43:E43"/>
    <mergeCell ref="N43:P43"/>
    <mergeCell ref="C38:E38"/>
    <mergeCell ref="N38:P38"/>
    <mergeCell ref="C39:E39"/>
    <mergeCell ref="N39:P39"/>
    <mergeCell ref="C40:E40"/>
    <mergeCell ref="N40:P40"/>
    <mergeCell ref="C47:E47"/>
    <mergeCell ref="N47:P47"/>
    <mergeCell ref="C48:E48"/>
    <mergeCell ref="N48:P48"/>
    <mergeCell ref="C49:E49"/>
    <mergeCell ref="N49:P49"/>
    <mergeCell ref="C44:E44"/>
    <mergeCell ref="N44:P44"/>
    <mergeCell ref="C45:E45"/>
    <mergeCell ref="N45:P45"/>
    <mergeCell ref="C46:E46"/>
    <mergeCell ref="N46:P46"/>
    <mergeCell ref="C53:E53"/>
    <mergeCell ref="N53:P53"/>
    <mergeCell ref="C54:E54"/>
    <mergeCell ref="N54:P54"/>
    <mergeCell ref="C55:E55"/>
    <mergeCell ref="N55:P55"/>
    <mergeCell ref="C50:E50"/>
    <mergeCell ref="N50:P50"/>
    <mergeCell ref="C51:E51"/>
    <mergeCell ref="N51:P51"/>
    <mergeCell ref="C52:E52"/>
    <mergeCell ref="N52:P52"/>
    <mergeCell ref="C59:E59"/>
    <mergeCell ref="N59:P59"/>
    <mergeCell ref="C60:E60"/>
    <mergeCell ref="N60:P60"/>
    <mergeCell ref="C61:E61"/>
    <mergeCell ref="N61:P61"/>
    <mergeCell ref="C56:E56"/>
    <mergeCell ref="N56:P56"/>
    <mergeCell ref="C57:E57"/>
    <mergeCell ref="N57:P57"/>
    <mergeCell ref="C58:E58"/>
    <mergeCell ref="N58:P58"/>
    <mergeCell ref="C65:E65"/>
    <mergeCell ref="N65:P65"/>
    <mergeCell ref="C66:E66"/>
    <mergeCell ref="N66:P66"/>
    <mergeCell ref="C67:E67"/>
    <mergeCell ref="N67:P67"/>
    <mergeCell ref="C62:E62"/>
    <mergeCell ref="N62:P62"/>
    <mergeCell ref="C63:E63"/>
    <mergeCell ref="N63:P63"/>
    <mergeCell ref="C64:E64"/>
    <mergeCell ref="N64:P64"/>
    <mergeCell ref="C71:E71"/>
    <mergeCell ref="N71:P71"/>
    <mergeCell ref="C72:E72"/>
    <mergeCell ref="N72:P72"/>
    <mergeCell ref="C73:E73"/>
    <mergeCell ref="N73:P73"/>
    <mergeCell ref="C68:E68"/>
    <mergeCell ref="N68:P68"/>
    <mergeCell ref="C69:E69"/>
    <mergeCell ref="N69:P69"/>
    <mergeCell ref="C70:E70"/>
    <mergeCell ref="N70:P70"/>
    <mergeCell ref="C77:E77"/>
    <mergeCell ref="N77:P77"/>
    <mergeCell ref="C78:E78"/>
    <mergeCell ref="N78:P78"/>
    <mergeCell ref="C79:E79"/>
    <mergeCell ref="N79:P79"/>
    <mergeCell ref="C74:E74"/>
    <mergeCell ref="N74:P74"/>
    <mergeCell ref="C75:E75"/>
    <mergeCell ref="N75:P75"/>
    <mergeCell ref="C76:E76"/>
    <mergeCell ref="N76:P76"/>
    <mergeCell ref="C83:E83"/>
    <mergeCell ref="N83:P83"/>
    <mergeCell ref="C84:E84"/>
    <mergeCell ref="N84:P84"/>
    <mergeCell ref="C85:E85"/>
    <mergeCell ref="N85:P85"/>
    <mergeCell ref="C80:E80"/>
    <mergeCell ref="N80:P80"/>
    <mergeCell ref="C81:E81"/>
    <mergeCell ref="N81:P81"/>
    <mergeCell ref="C82:E82"/>
    <mergeCell ref="N82:P82"/>
    <mergeCell ref="C89:E89"/>
    <mergeCell ref="N89:P89"/>
    <mergeCell ref="C90:E90"/>
    <mergeCell ref="N90:P90"/>
    <mergeCell ref="C91:E91"/>
    <mergeCell ref="N91:P91"/>
    <mergeCell ref="C86:E86"/>
    <mergeCell ref="N86:P86"/>
    <mergeCell ref="C87:E87"/>
    <mergeCell ref="N87:P87"/>
    <mergeCell ref="C88:E88"/>
    <mergeCell ref="N88:P88"/>
    <mergeCell ref="C95:E95"/>
    <mergeCell ref="N95:P95"/>
    <mergeCell ref="C96:E96"/>
    <mergeCell ref="N96:P96"/>
    <mergeCell ref="C97:E97"/>
    <mergeCell ref="N97:P97"/>
    <mergeCell ref="C92:E92"/>
    <mergeCell ref="N92:P92"/>
    <mergeCell ref="C93:E93"/>
    <mergeCell ref="N93:P93"/>
    <mergeCell ref="C94:E94"/>
    <mergeCell ref="N94:P94"/>
    <mergeCell ref="C101:E101"/>
    <mergeCell ref="N101:P101"/>
    <mergeCell ref="C102:E102"/>
    <mergeCell ref="N102:P102"/>
    <mergeCell ref="C103:E103"/>
    <mergeCell ref="N103:P103"/>
    <mergeCell ref="C98:E98"/>
    <mergeCell ref="N98:P98"/>
    <mergeCell ref="C99:E99"/>
    <mergeCell ref="N99:P99"/>
    <mergeCell ref="C100:E100"/>
    <mergeCell ref="N100:P100"/>
    <mergeCell ref="C107:E107"/>
    <mergeCell ref="N107:P107"/>
    <mergeCell ref="C108:E108"/>
    <mergeCell ref="N108:P108"/>
    <mergeCell ref="C109:E109"/>
    <mergeCell ref="N109:P109"/>
    <mergeCell ref="C104:E104"/>
    <mergeCell ref="N104:P104"/>
    <mergeCell ref="C105:E105"/>
    <mergeCell ref="N105:P105"/>
    <mergeCell ref="C106:E106"/>
    <mergeCell ref="N106:P106"/>
    <mergeCell ref="C113:E113"/>
    <mergeCell ref="N113:P113"/>
    <mergeCell ref="C114:E114"/>
    <mergeCell ref="N114:P114"/>
    <mergeCell ref="C115:E115"/>
    <mergeCell ref="N115:P115"/>
    <mergeCell ref="C110:E110"/>
    <mergeCell ref="N110:P110"/>
    <mergeCell ref="C111:E111"/>
    <mergeCell ref="N111:P111"/>
    <mergeCell ref="C112:E112"/>
    <mergeCell ref="N112:P112"/>
    <mergeCell ref="C119:E119"/>
    <mergeCell ref="N119:P119"/>
    <mergeCell ref="C120:E120"/>
    <mergeCell ref="N120:P120"/>
    <mergeCell ref="C121:E121"/>
    <mergeCell ref="N121:P121"/>
    <mergeCell ref="C116:E116"/>
    <mergeCell ref="N116:P116"/>
    <mergeCell ref="C117:E117"/>
    <mergeCell ref="N117:P117"/>
    <mergeCell ref="C118:E118"/>
    <mergeCell ref="N118:P118"/>
    <mergeCell ref="C126:E126"/>
    <mergeCell ref="N126:P126"/>
    <mergeCell ref="C127:E127"/>
    <mergeCell ref="N127:P127"/>
    <mergeCell ref="C128:E128"/>
    <mergeCell ref="N128:P128"/>
    <mergeCell ref="C122:F122"/>
    <mergeCell ref="G122:I122"/>
    <mergeCell ref="N122:P122"/>
    <mergeCell ref="C123:E123"/>
    <mergeCell ref="N123:P123"/>
    <mergeCell ref="C124:E124"/>
    <mergeCell ref="N124:P124"/>
    <mergeCell ref="C125:E125"/>
    <mergeCell ref="N125:P125"/>
    <mergeCell ref="C132:E132"/>
    <mergeCell ref="N132:P132"/>
    <mergeCell ref="C133:E133"/>
    <mergeCell ref="N133:P133"/>
    <mergeCell ref="C134:E134"/>
    <mergeCell ref="N134:P134"/>
    <mergeCell ref="C129:E129"/>
    <mergeCell ref="N129:P129"/>
    <mergeCell ref="C130:E130"/>
    <mergeCell ref="N130:P130"/>
    <mergeCell ref="C131:E131"/>
    <mergeCell ref="N131:P131"/>
    <mergeCell ref="C138:E138"/>
    <mergeCell ref="N138:P138"/>
    <mergeCell ref="C139:E139"/>
    <mergeCell ref="N139:P139"/>
    <mergeCell ref="C140:E140"/>
    <mergeCell ref="N140:P140"/>
    <mergeCell ref="C135:E135"/>
    <mergeCell ref="N135:P135"/>
    <mergeCell ref="C136:E136"/>
    <mergeCell ref="N136:P136"/>
    <mergeCell ref="C137:E137"/>
    <mergeCell ref="N137:P137"/>
    <mergeCell ref="C144:E144"/>
    <mergeCell ref="N144:P144"/>
    <mergeCell ref="C145:E145"/>
    <mergeCell ref="N145:P145"/>
    <mergeCell ref="C146:E146"/>
    <mergeCell ref="N146:P146"/>
    <mergeCell ref="C141:E141"/>
    <mergeCell ref="N141:P141"/>
    <mergeCell ref="C142:E142"/>
    <mergeCell ref="N142:P142"/>
    <mergeCell ref="C143:E143"/>
    <mergeCell ref="N143:P143"/>
    <mergeCell ref="A152:B152"/>
    <mergeCell ref="C152:E152"/>
    <mergeCell ref="G152:Q152"/>
    <mergeCell ref="A153:B153"/>
    <mergeCell ref="C153:E153"/>
    <mergeCell ref="N153:P153"/>
    <mergeCell ref="C147:E147"/>
    <mergeCell ref="N147:P147"/>
    <mergeCell ref="C148:F148"/>
    <mergeCell ref="G148:I148"/>
    <mergeCell ref="N148:P148"/>
    <mergeCell ref="A149:F149"/>
    <mergeCell ref="G149:I149"/>
    <mergeCell ref="N149:P149"/>
    <mergeCell ref="A123:B148"/>
    <mergeCell ref="A154:B262"/>
    <mergeCell ref="C154:E154"/>
    <mergeCell ref="N154:P154"/>
    <mergeCell ref="C155:E155"/>
    <mergeCell ref="N155:P155"/>
    <mergeCell ref="C156:E156"/>
    <mergeCell ref="N156:P156"/>
    <mergeCell ref="C157:E157"/>
    <mergeCell ref="N157:P157"/>
    <mergeCell ref="C158:E158"/>
    <mergeCell ref="C162:E162"/>
    <mergeCell ref="N162:P162"/>
    <mergeCell ref="C163:E163"/>
    <mergeCell ref="N163:P163"/>
    <mergeCell ref="C164:E164"/>
    <mergeCell ref="N164:P164"/>
    <mergeCell ref="N158:P158"/>
    <mergeCell ref="C159:E159"/>
    <mergeCell ref="N159:P159"/>
    <mergeCell ref="C160:E160"/>
    <mergeCell ref="N160:P160"/>
    <mergeCell ref="C161:E161"/>
    <mergeCell ref="N161:P161"/>
    <mergeCell ref="C168:E168"/>
    <mergeCell ref="N168:P168"/>
    <mergeCell ref="C169:E169"/>
    <mergeCell ref="N169:P169"/>
    <mergeCell ref="C170:E170"/>
    <mergeCell ref="N170:P170"/>
    <mergeCell ref="C165:E165"/>
    <mergeCell ref="N165:P165"/>
    <mergeCell ref="C166:E166"/>
    <mergeCell ref="N166:P166"/>
    <mergeCell ref="C167:E167"/>
    <mergeCell ref="N167:P167"/>
    <mergeCell ref="C174:E174"/>
    <mergeCell ref="N174:P174"/>
    <mergeCell ref="C175:E175"/>
    <mergeCell ref="N175:P175"/>
    <mergeCell ref="C176:E176"/>
    <mergeCell ref="N176:P176"/>
    <mergeCell ref="C171:E171"/>
    <mergeCell ref="N171:P171"/>
    <mergeCell ref="C172:E172"/>
    <mergeCell ref="N172:P172"/>
    <mergeCell ref="C173:E173"/>
    <mergeCell ref="N173:P173"/>
    <mergeCell ref="C180:E180"/>
    <mergeCell ref="N180:P180"/>
    <mergeCell ref="C181:E181"/>
    <mergeCell ref="N181:P181"/>
    <mergeCell ref="C182:E182"/>
    <mergeCell ref="N182:P182"/>
    <mergeCell ref="C177:E177"/>
    <mergeCell ref="N177:P177"/>
    <mergeCell ref="C178:E178"/>
    <mergeCell ref="N178:P178"/>
    <mergeCell ref="C179:E179"/>
    <mergeCell ref="N179:P179"/>
    <mergeCell ref="C186:E186"/>
    <mergeCell ref="N186:P186"/>
    <mergeCell ref="C187:E187"/>
    <mergeCell ref="N187:P187"/>
    <mergeCell ref="C188:E188"/>
    <mergeCell ref="N188:P188"/>
    <mergeCell ref="C183:E183"/>
    <mergeCell ref="N183:P183"/>
    <mergeCell ref="C184:E184"/>
    <mergeCell ref="N184:P184"/>
    <mergeCell ref="C185:E185"/>
    <mergeCell ref="N185:P185"/>
    <mergeCell ref="C192:E192"/>
    <mergeCell ref="N192:P192"/>
    <mergeCell ref="C193:E193"/>
    <mergeCell ref="N193:P193"/>
    <mergeCell ref="C194:E194"/>
    <mergeCell ref="N194:P194"/>
    <mergeCell ref="C189:E189"/>
    <mergeCell ref="N189:P189"/>
    <mergeCell ref="C190:E190"/>
    <mergeCell ref="N190:P190"/>
    <mergeCell ref="C191:E191"/>
    <mergeCell ref="N191:P191"/>
    <mergeCell ref="C198:E198"/>
    <mergeCell ref="N198:P198"/>
    <mergeCell ref="C199:E199"/>
    <mergeCell ref="N199:P199"/>
    <mergeCell ref="C200:E200"/>
    <mergeCell ref="N200:P200"/>
    <mergeCell ref="C195:E195"/>
    <mergeCell ref="N195:P195"/>
    <mergeCell ref="C196:E196"/>
    <mergeCell ref="N196:P196"/>
    <mergeCell ref="C197:E197"/>
    <mergeCell ref="N197:P197"/>
    <mergeCell ref="C204:E204"/>
    <mergeCell ref="N204:P204"/>
    <mergeCell ref="C205:E205"/>
    <mergeCell ref="N205:P205"/>
    <mergeCell ref="C206:E206"/>
    <mergeCell ref="N206:P206"/>
    <mergeCell ref="C201:E201"/>
    <mergeCell ref="N201:P201"/>
    <mergeCell ref="C202:E202"/>
    <mergeCell ref="N202:P202"/>
    <mergeCell ref="C203:E203"/>
    <mergeCell ref="N203:P203"/>
    <mergeCell ref="C210:E210"/>
    <mergeCell ref="N210:P210"/>
    <mergeCell ref="C211:E211"/>
    <mergeCell ref="N211:P211"/>
    <mergeCell ref="C212:E212"/>
    <mergeCell ref="N212:P212"/>
    <mergeCell ref="C207:E207"/>
    <mergeCell ref="N207:P207"/>
    <mergeCell ref="C208:E208"/>
    <mergeCell ref="N208:P208"/>
    <mergeCell ref="C209:E209"/>
    <mergeCell ref="N209:P209"/>
    <mergeCell ref="C216:E216"/>
    <mergeCell ref="N216:P216"/>
    <mergeCell ref="C217:E217"/>
    <mergeCell ref="N217:P217"/>
    <mergeCell ref="C218:E218"/>
    <mergeCell ref="N218:P218"/>
    <mergeCell ref="C213:E213"/>
    <mergeCell ref="N213:P213"/>
    <mergeCell ref="C214:E214"/>
    <mergeCell ref="N214:P214"/>
    <mergeCell ref="C215:E215"/>
    <mergeCell ref="N215:P215"/>
    <mergeCell ref="C222:E222"/>
    <mergeCell ref="N222:P222"/>
    <mergeCell ref="C223:E223"/>
    <mergeCell ref="N223:P223"/>
    <mergeCell ref="C224:E224"/>
    <mergeCell ref="N224:P224"/>
    <mergeCell ref="C219:E219"/>
    <mergeCell ref="N219:P219"/>
    <mergeCell ref="C220:E220"/>
    <mergeCell ref="N220:P220"/>
    <mergeCell ref="C221:E221"/>
    <mergeCell ref="N221:P221"/>
    <mergeCell ref="C228:E228"/>
    <mergeCell ref="N228:P228"/>
    <mergeCell ref="C229:E229"/>
    <mergeCell ref="N229:P229"/>
    <mergeCell ref="C230:E230"/>
    <mergeCell ref="N230:P230"/>
    <mergeCell ref="C225:E225"/>
    <mergeCell ref="N225:P225"/>
    <mergeCell ref="C226:E226"/>
    <mergeCell ref="N226:P226"/>
    <mergeCell ref="C227:E227"/>
    <mergeCell ref="N227:P227"/>
    <mergeCell ref="C234:E234"/>
    <mergeCell ref="N234:P234"/>
    <mergeCell ref="C235:E235"/>
    <mergeCell ref="N235:P235"/>
    <mergeCell ref="C236:E236"/>
    <mergeCell ref="N236:P236"/>
    <mergeCell ref="C231:E231"/>
    <mergeCell ref="N231:P231"/>
    <mergeCell ref="C232:E232"/>
    <mergeCell ref="N232:P232"/>
    <mergeCell ref="C233:E233"/>
    <mergeCell ref="N233:P233"/>
    <mergeCell ref="C240:E240"/>
    <mergeCell ref="N240:P240"/>
    <mergeCell ref="C241:E241"/>
    <mergeCell ref="N241:P241"/>
    <mergeCell ref="C242:E242"/>
    <mergeCell ref="N242:P242"/>
    <mergeCell ref="C237:E237"/>
    <mergeCell ref="N237:P237"/>
    <mergeCell ref="C238:E238"/>
    <mergeCell ref="N238:P238"/>
    <mergeCell ref="C239:E239"/>
    <mergeCell ref="N239:P239"/>
    <mergeCell ref="C246:E246"/>
    <mergeCell ref="N246:P246"/>
    <mergeCell ref="C247:E247"/>
    <mergeCell ref="N247:P247"/>
    <mergeCell ref="C248:E248"/>
    <mergeCell ref="N248:P248"/>
    <mergeCell ref="C243:E243"/>
    <mergeCell ref="N243:P243"/>
    <mergeCell ref="C244:E244"/>
    <mergeCell ref="N244:P244"/>
    <mergeCell ref="C245:E245"/>
    <mergeCell ref="N245:P245"/>
    <mergeCell ref="C252:E252"/>
    <mergeCell ref="N252:P252"/>
    <mergeCell ref="C253:E253"/>
    <mergeCell ref="N253:P253"/>
    <mergeCell ref="C254:E254"/>
    <mergeCell ref="N254:P254"/>
    <mergeCell ref="C249:E249"/>
    <mergeCell ref="N249:P249"/>
    <mergeCell ref="C250:E250"/>
    <mergeCell ref="N250:P250"/>
    <mergeCell ref="C251:E251"/>
    <mergeCell ref="N251:P251"/>
    <mergeCell ref="C258:E258"/>
    <mergeCell ref="N258:P258"/>
    <mergeCell ref="C259:E259"/>
    <mergeCell ref="N259:P259"/>
    <mergeCell ref="C260:E260"/>
    <mergeCell ref="N260:P260"/>
    <mergeCell ref="C255:E255"/>
    <mergeCell ref="N255:P255"/>
    <mergeCell ref="C256:E256"/>
    <mergeCell ref="N256:P256"/>
    <mergeCell ref="C257:E257"/>
    <mergeCell ref="N257:P257"/>
    <mergeCell ref="C265:E265"/>
    <mergeCell ref="N265:P265"/>
    <mergeCell ref="C266:E266"/>
    <mergeCell ref="N266:P266"/>
    <mergeCell ref="C267:E267"/>
    <mergeCell ref="N267:P267"/>
    <mergeCell ref="C261:E261"/>
    <mergeCell ref="N261:P261"/>
    <mergeCell ref="C262:F262"/>
    <mergeCell ref="G262:I262"/>
    <mergeCell ref="N262:P262"/>
    <mergeCell ref="C263:E263"/>
    <mergeCell ref="N263:P263"/>
    <mergeCell ref="C264:E264"/>
    <mergeCell ref="N264:P264"/>
    <mergeCell ref="C271:E271"/>
    <mergeCell ref="N271:P271"/>
    <mergeCell ref="C272:E272"/>
    <mergeCell ref="N272:P272"/>
    <mergeCell ref="C273:E273"/>
    <mergeCell ref="N273:P273"/>
    <mergeCell ref="C268:E268"/>
    <mergeCell ref="N268:P268"/>
    <mergeCell ref="C269:E269"/>
    <mergeCell ref="N269:P269"/>
    <mergeCell ref="C270:E270"/>
    <mergeCell ref="N270:P270"/>
    <mergeCell ref="C277:E277"/>
    <mergeCell ref="N277:P277"/>
    <mergeCell ref="C278:E278"/>
    <mergeCell ref="N278:P278"/>
    <mergeCell ref="C279:E279"/>
    <mergeCell ref="N279:P279"/>
    <mergeCell ref="C274:E274"/>
    <mergeCell ref="N274:P274"/>
    <mergeCell ref="C275:E275"/>
    <mergeCell ref="N275:P275"/>
    <mergeCell ref="C276:E276"/>
    <mergeCell ref="N276:P276"/>
    <mergeCell ref="C283:E283"/>
    <mergeCell ref="N283:P283"/>
    <mergeCell ref="C284:E284"/>
    <mergeCell ref="N284:P284"/>
    <mergeCell ref="C285:E285"/>
    <mergeCell ref="N285:P285"/>
    <mergeCell ref="C280:E280"/>
    <mergeCell ref="N280:P280"/>
    <mergeCell ref="C281:E281"/>
    <mergeCell ref="N281:P281"/>
    <mergeCell ref="C282:E282"/>
    <mergeCell ref="N282:P282"/>
    <mergeCell ref="A289:F289"/>
    <mergeCell ref="G289:I289"/>
    <mergeCell ref="N289:P289"/>
    <mergeCell ref="B292:J292"/>
    <mergeCell ref="C286:E286"/>
    <mergeCell ref="N286:P286"/>
    <mergeCell ref="C287:E287"/>
    <mergeCell ref="N287:P287"/>
    <mergeCell ref="C288:F288"/>
    <mergeCell ref="G288:I288"/>
    <mergeCell ref="N288:P288"/>
    <mergeCell ref="A263:B288"/>
  </mergeCells>
  <pageMargins left="0.59055118110236204" right="0.59055118110236204" top="0.59055118110236204" bottom="1.1877677165354299" header="0.59055118110236204" footer="0.59055118110236204"/>
  <pageSetup orientation="landscape" horizontalDpi="300" verticalDpi="300"/>
  <headerFooter alignWithMargins="0">
    <oddFooter>&amp;L&amp;"Tahoma,Regular"&amp;9 Fecha de generación: 
&amp;"Verdana,Regular"06/04/2026 17:03:42 
&amp;"Tahoma,Regular"Generado por: 
&amp;"Verdana,Regular"EPM\\DHOYOSP &amp;C&amp;"Verdana,Regular"&amp;9Página &amp;P de &amp;N</oddFooter>
  </headerFooter>
  <drawing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BIAC</vt:lpstr>
      <vt:lpstr>BIAC!Títulos_a_imprimir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ACENETH HOYOS PENA</dc:creator>
  <cp:lastModifiedBy>DORIS ACENETH HOYOS PENA</cp:lastModifiedBy>
  <dcterms:created xsi:type="dcterms:W3CDTF">2026-04-07T12:50:40Z</dcterms:created>
  <dcterms:modified xsi:type="dcterms:W3CDTF">2026-04-07T12:55:56Z</dcterms:modified>
</cp:coreProperties>
</file>