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LIQUIDACIONES\TC1\2026\3. Marzo\Formatos TC1 consumos Febrero 2026\"/>
    </mc:Choice>
  </mc:AlternateContent>
  <xr:revisionPtr revIDLastSave="0" documentId="8_{52E0121A-1FF6-4F72-BF85-8BF124FB13DB}" xr6:coauthVersionLast="47" xr6:coauthVersionMax="47" xr10:uidLastSave="{00000000-0000-0000-0000-000000000000}"/>
  <bookViews>
    <workbookView xWindow="-108" yWindow="-108" windowWidth="23256" windowHeight="12456" xr2:uid="{A65AC283-E8BB-4F73-9A8B-C84DEBFEDE41}"/>
  </bookViews>
  <sheets>
    <sheet name="FORMATO TC1 PRELIMINAR-OR ESSA" sheetId="2" r:id="rId1"/>
  </sheets>
  <definedNames>
    <definedName name="_xlnm._FilterDatabase" localSheetId="0" hidden="1">'FORMATO TC1 PRELIMINAR-OR ESSA'!$A$10:$AE$10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A3" i="2"/>
  <c r="R5" i="2"/>
  <c r="A5" i="2"/>
</calcChain>
</file>

<file path=xl/sharedStrings.xml><?xml version="1.0" encoding="utf-8"?>
<sst xmlns="http://schemas.openxmlformats.org/spreadsheetml/2006/main" count="609" uniqueCount="425">
  <si>
    <t>NIU</t>
  </si>
  <si>
    <t>CODIGOCONEXION</t>
  </si>
  <si>
    <t>TIPOCONEXION</t>
  </si>
  <si>
    <t>NIVELTENSION</t>
  </si>
  <si>
    <t>NIVELTENSIONPRIMARIO</t>
  </si>
  <si>
    <t>PORCENTAJEPROPIEDAD</t>
  </si>
  <si>
    <t>CONEXIONRED</t>
  </si>
  <si>
    <t>IDCOMERCIALIZADOR</t>
  </si>
  <si>
    <t>IDMERCADO</t>
  </si>
  <si>
    <t>GRUPOCALIDAD</t>
  </si>
  <si>
    <t>CODIGOFRONTERACOMERCIAL</t>
  </si>
  <si>
    <t>CODIGOCIRCUITO</t>
  </si>
  <si>
    <t>CODIGOTRANSFORMADOR</t>
  </si>
  <si>
    <t>CODIGODANE</t>
  </si>
  <si>
    <t>UBICACION</t>
  </si>
  <si>
    <t>DIRECCION</t>
  </si>
  <si>
    <t>CONDICIONESESPECIALES</t>
  </si>
  <si>
    <t xml:space="preserve"> TIPOAREAESPECIAL</t>
  </si>
  <si>
    <t xml:space="preserve"> CODIGOAREAESPECIAL</t>
  </si>
  <si>
    <t>ESTRATOSECTOR</t>
  </si>
  <si>
    <t>ALTITUD</t>
  </si>
  <si>
    <t>LONGITUD</t>
  </si>
  <si>
    <t>LATITUD</t>
  </si>
  <si>
    <t>AUTOGENERADOR</t>
  </si>
  <si>
    <t>EXPORTAENERGIA</t>
  </si>
  <si>
    <t>CAPACIDADAUTOGENERADOR</t>
  </si>
  <si>
    <t>TIPOGENERACION</t>
  </si>
  <si>
    <t>CODIGOFRONTERAAUTOGENERACION</t>
  </si>
  <si>
    <t>FECHAENTRADAGENERAR</t>
  </si>
  <si>
    <t>CONTRATORESPALDO</t>
  </si>
  <si>
    <t>CAPACIDADCONTRATORESPALDO</t>
  </si>
  <si>
    <t>0115122</t>
  </si>
  <si>
    <t>Frt23128</t>
  </si>
  <si>
    <t>0093</t>
  </si>
  <si>
    <t>CRA 8 AE 27 72</t>
  </si>
  <si>
    <t>0116497</t>
  </si>
  <si>
    <t>Frt89345</t>
  </si>
  <si>
    <t>0157</t>
  </si>
  <si>
    <t>VIA INTERNA ACCESSO BARRIO</t>
  </si>
  <si>
    <t>0141706</t>
  </si>
  <si>
    <t>Frt79902</t>
  </si>
  <si>
    <t>0204</t>
  </si>
  <si>
    <t>VDA GUATIGUARA 240</t>
  </si>
  <si>
    <t>0161372</t>
  </si>
  <si>
    <t>Frt82036</t>
  </si>
  <si>
    <t>0198</t>
  </si>
  <si>
    <t>VDA SANTA ROSA FCA SANTA ROSA</t>
  </si>
  <si>
    <t>100CQJ0000</t>
  </si>
  <si>
    <t>Frt79485</t>
  </si>
  <si>
    <t>0066</t>
  </si>
  <si>
    <t>DGN 56 18A 88 LOCAL 143</t>
  </si>
  <si>
    <t>Frt78593</t>
  </si>
  <si>
    <t>DGN 56 18A 88 LOCAL 142</t>
  </si>
  <si>
    <t>100CT80000</t>
  </si>
  <si>
    <t>Frt79469</t>
  </si>
  <si>
    <t>0288</t>
  </si>
  <si>
    <t>VDA LA TEMPESTUOSA BUENAVISTA</t>
  </si>
  <si>
    <t>100CUH0000</t>
  </si>
  <si>
    <t>Frt59479</t>
  </si>
  <si>
    <t>0202</t>
  </si>
  <si>
    <t>CLL 10 6 24 CENTRO  PIEDECUESTA</t>
  </si>
  <si>
    <t>100CWC0000</t>
  </si>
  <si>
    <t>Frt77130</t>
  </si>
  <si>
    <t>0199</t>
  </si>
  <si>
    <t>FCA SOL ORIENTE MANCHADORES</t>
  </si>
  <si>
    <t>100DHD0000</t>
  </si>
  <si>
    <t>Frt88412</t>
  </si>
  <si>
    <t>0359</t>
  </si>
  <si>
    <t>CLL 12 7 42</t>
  </si>
  <si>
    <t>100DQK0000</t>
  </si>
  <si>
    <t>Frt75360</t>
  </si>
  <si>
    <t>0123</t>
  </si>
  <si>
    <t>CLL 31 23 59 CANAVERAL</t>
  </si>
  <si>
    <t>100EGT0000</t>
  </si>
  <si>
    <t>Frt75288</t>
  </si>
  <si>
    <t>0303</t>
  </si>
  <si>
    <t>VDA EL TABOR FCA EL TABOR GALPONES</t>
  </si>
  <si>
    <t>100EYM0000</t>
  </si>
  <si>
    <t>Frt06773</t>
  </si>
  <si>
    <t>0243</t>
  </si>
  <si>
    <t>CLL 49 1092 BCOLOMBIA</t>
  </si>
  <si>
    <t>100FYJ0000</t>
  </si>
  <si>
    <t>Frt89346</t>
  </si>
  <si>
    <t>0334</t>
  </si>
  <si>
    <t>CRA 9 7 28 CENTRO</t>
  </si>
  <si>
    <t>100GKK0000</t>
  </si>
  <si>
    <t>Frt77094</t>
  </si>
  <si>
    <t>0183</t>
  </si>
  <si>
    <t>VDA LLANO DE PALMAS</t>
  </si>
  <si>
    <t>100GPJ0000</t>
  </si>
  <si>
    <t>Frt18686</t>
  </si>
  <si>
    <t>0172</t>
  </si>
  <si>
    <t>CRA 15 34 80 CENTRO</t>
  </si>
  <si>
    <t>100GQ80000</t>
  </si>
  <si>
    <t>Frt89111</t>
  </si>
  <si>
    <t>0127</t>
  </si>
  <si>
    <t>CLL 29 11 58 LAGOS I</t>
  </si>
  <si>
    <t>100GX10000</t>
  </si>
  <si>
    <t>Frt75957</t>
  </si>
  <si>
    <t>0187</t>
  </si>
  <si>
    <t>VDA REMANSO PRADERA</t>
  </si>
  <si>
    <t>100G2B0000</t>
  </si>
  <si>
    <t>Frt88426</t>
  </si>
  <si>
    <t>0391</t>
  </si>
  <si>
    <t>VDA RIO FRIO INT 1 BDG 10 KMT 3 540</t>
  </si>
  <si>
    <t>100HL40000</t>
  </si>
  <si>
    <t>Frt88432</t>
  </si>
  <si>
    <t>0149</t>
  </si>
  <si>
    <t>CRA 12 18N   31 KENEDY</t>
  </si>
  <si>
    <t>100H4P0000</t>
  </si>
  <si>
    <t>Frt75178</t>
  </si>
  <si>
    <t>0107</t>
  </si>
  <si>
    <t>CRA 33 A 32 95 ALVAREZ</t>
  </si>
  <si>
    <t>100H900000</t>
  </si>
  <si>
    <t>Frt60753</t>
  </si>
  <si>
    <t>0155</t>
  </si>
  <si>
    <t>CLL 6 17 B 12 CHIMITA</t>
  </si>
  <si>
    <t>100ID40000</t>
  </si>
  <si>
    <t>Frt87753</t>
  </si>
  <si>
    <t>0300</t>
  </si>
  <si>
    <t>CLL 13 10 40 JOSE ANTONIO GALAN</t>
  </si>
  <si>
    <t>100ID60000</t>
  </si>
  <si>
    <t>Frt78313</t>
  </si>
  <si>
    <t>0253</t>
  </si>
  <si>
    <t>VDA EL ZARZAL HACIENDA SAN ANTONIO MED1</t>
  </si>
  <si>
    <t>Frt78312</t>
  </si>
  <si>
    <t>VDA EL ZARZAL HACIENDA SAN ANTONIO MED2</t>
  </si>
  <si>
    <t>100IJO0000</t>
  </si>
  <si>
    <t>Frt79934</t>
  </si>
  <si>
    <t>CRA 26 30 85 CANAVERAL</t>
  </si>
  <si>
    <t>100JMI0000</t>
  </si>
  <si>
    <t>Frt79467</t>
  </si>
  <si>
    <t>0375</t>
  </si>
  <si>
    <t>CLL 52 B 31 68 NUEVO SOTOMAYOR</t>
  </si>
  <si>
    <t>AGPE0001</t>
  </si>
  <si>
    <t>100JNT0000</t>
  </si>
  <si>
    <t>Frt64959</t>
  </si>
  <si>
    <t>0228</t>
  </si>
  <si>
    <t>CRA 4 4 29 LOCAL 2</t>
  </si>
  <si>
    <t>100JQZ0000</t>
  </si>
  <si>
    <t>Frt70950</t>
  </si>
  <si>
    <t>0301</t>
  </si>
  <si>
    <t>CLL 2 12 164 CS 86 BALCONES DEL BELLA ISLA</t>
  </si>
  <si>
    <t>100KSE0000</t>
  </si>
  <si>
    <t>Frt79468</t>
  </si>
  <si>
    <t>0304</t>
  </si>
  <si>
    <t>CRA 6 6 80</t>
  </si>
  <si>
    <t>100KV50000</t>
  </si>
  <si>
    <t>Frt79897</t>
  </si>
  <si>
    <t>0182</t>
  </si>
  <si>
    <t>VDA LA PUENTE FCA LA ESMERALDA</t>
  </si>
  <si>
    <t>100KZM0000</t>
  </si>
  <si>
    <t>Frt50743</t>
  </si>
  <si>
    <t>0364</t>
  </si>
  <si>
    <t>CRA 29 41 25 SOTOMAYOR</t>
  </si>
  <si>
    <t>100K8U0000</t>
  </si>
  <si>
    <t>Frt58736</t>
  </si>
  <si>
    <t>0239</t>
  </si>
  <si>
    <t>CLL 49 17 45 PISO 2 APTO</t>
  </si>
  <si>
    <t>100MCL0000</t>
  </si>
  <si>
    <t>Frt65485</t>
  </si>
  <si>
    <t>0053</t>
  </si>
  <si>
    <t>TRV ORIENTAL 90 182 LOC 412 B CCO CACIQUE</t>
  </si>
  <si>
    <t>Frt70937</t>
  </si>
  <si>
    <t xml:space="preserve">TRV ORIENTAL 90 182 LOC L 0412 CCO CACIQUE BALCON </t>
  </si>
  <si>
    <t>Frt58737</t>
  </si>
  <si>
    <t>TRV 93 34 99 LOC L 0280 CCO CACIQUE</t>
  </si>
  <si>
    <t>100MHY0000</t>
  </si>
  <si>
    <t>Frt58894</t>
  </si>
  <si>
    <t>TRV ORIENTAL 90 182 LOC 224 CCO CACIQUE PORTON DEL</t>
  </si>
  <si>
    <t>100NI20000</t>
  </si>
  <si>
    <t>Frt89126</t>
  </si>
  <si>
    <t>0096</t>
  </si>
  <si>
    <t>CLL 6 7 A 12 CENTRO</t>
  </si>
  <si>
    <t>100NQ50000</t>
  </si>
  <si>
    <t>Frt79933</t>
  </si>
  <si>
    <t>0221</t>
  </si>
  <si>
    <t>VDA EL CARRIZAL FCA LAS LAJAS</t>
  </si>
  <si>
    <t>100OJ20000</t>
  </si>
  <si>
    <t>Frt86783</t>
  </si>
  <si>
    <t>0090</t>
  </si>
  <si>
    <t>VDA LLANO GRANDE FCA DESCANSO 12200122000 DISTRAVE</t>
  </si>
  <si>
    <t>100QAX0000</t>
  </si>
  <si>
    <t>Frt76001</t>
  </si>
  <si>
    <t>0188</t>
  </si>
  <si>
    <t>FCA VILLA PAOLA EL BOSQUE</t>
  </si>
  <si>
    <t>100QGF0000</t>
  </si>
  <si>
    <t>Frt82068</t>
  </si>
  <si>
    <t>100QIH0000</t>
  </si>
  <si>
    <t>Frt77092</t>
  </si>
  <si>
    <t>VDA BOCA MONTE FCA PLAYA ALTA</t>
  </si>
  <si>
    <t>Frt77129</t>
  </si>
  <si>
    <t>VDA BOCA MONTE LOT 1 PLAYA ALT</t>
  </si>
  <si>
    <t>100Q0E0000</t>
  </si>
  <si>
    <t>Frt82174</t>
  </si>
  <si>
    <t>0216</t>
  </si>
  <si>
    <t>VDA CACHIRICITO FCA CAMPO</t>
  </si>
  <si>
    <t>100RZO0000</t>
  </si>
  <si>
    <t>Frt75763</t>
  </si>
  <si>
    <t>0189</t>
  </si>
  <si>
    <t>CLL 1 1 126 20275</t>
  </si>
  <si>
    <t>100SL30000</t>
  </si>
  <si>
    <t>Frt88418</t>
  </si>
  <si>
    <t>0338</t>
  </si>
  <si>
    <t>CLL 10 2 LAS NIEVES</t>
  </si>
  <si>
    <t>100T920000</t>
  </si>
  <si>
    <t>Frt78382</t>
  </si>
  <si>
    <t>0235</t>
  </si>
  <si>
    <t>CRA 9 14 41 CARVAJAL</t>
  </si>
  <si>
    <t>100UCW0000</t>
  </si>
  <si>
    <t>Frt78553</t>
  </si>
  <si>
    <t>0194</t>
  </si>
  <si>
    <t>CLL 8 11 33 SERV GENE SAN RAFAEL</t>
  </si>
  <si>
    <t>100UNB0000</t>
  </si>
  <si>
    <t>Frt76491</t>
  </si>
  <si>
    <t>0153</t>
  </si>
  <si>
    <t>CLL 45 9 BW 23 LOCAL</t>
  </si>
  <si>
    <t>100U190000</t>
  </si>
  <si>
    <t>Frt78538</t>
  </si>
  <si>
    <t>0240</t>
  </si>
  <si>
    <t>CLL 54 21 14 TORCOROMA</t>
  </si>
  <si>
    <t>100U700000</t>
  </si>
  <si>
    <t>Frt77770</t>
  </si>
  <si>
    <t>CLL 30 6 E 17 LOC LA CUMBRE</t>
  </si>
  <si>
    <t>1000FJ0000</t>
  </si>
  <si>
    <t>Frt81732</t>
  </si>
  <si>
    <t>0145</t>
  </si>
  <si>
    <t>CLL 22 20 68 CONCORDIA</t>
  </si>
  <si>
    <t>Frt78418</t>
  </si>
  <si>
    <t>CLL 22 20  60</t>
  </si>
  <si>
    <t>1000NF0000</t>
  </si>
  <si>
    <t>Frt75559</t>
  </si>
  <si>
    <t>0162</t>
  </si>
  <si>
    <t>CLL 13 22 2 LOC 101</t>
  </si>
  <si>
    <t>1000UW0000</t>
  </si>
  <si>
    <t>Frt79889</t>
  </si>
  <si>
    <t>0376</t>
  </si>
  <si>
    <t>CRA 33 46 49</t>
  </si>
  <si>
    <t>Frt79901</t>
  </si>
  <si>
    <t>CRA 33 46 49 LAS PALMAS</t>
  </si>
  <si>
    <t>10000C0000</t>
  </si>
  <si>
    <t>Frt75597</t>
  </si>
  <si>
    <t>CLL 11 10 07 LOCAL</t>
  </si>
  <si>
    <t>10003K0000</t>
  </si>
  <si>
    <t>Frt59883</t>
  </si>
  <si>
    <t>0179</t>
  </si>
  <si>
    <t>CLL 35 16 52 CENTRO</t>
  </si>
  <si>
    <t>1000470000</t>
  </si>
  <si>
    <t>Frt75287</t>
  </si>
  <si>
    <t>0175</t>
  </si>
  <si>
    <t>CLL 50 21 66 LA CONCORDIA</t>
  </si>
  <si>
    <t>1001CU0000</t>
  </si>
  <si>
    <t>Frt62989</t>
  </si>
  <si>
    <t>0018</t>
  </si>
  <si>
    <t>AVD QUE 33 A 100 BLQ 1 LOC 2 00 EDF MEGAMALL</t>
  </si>
  <si>
    <t>1001C40000</t>
  </si>
  <si>
    <t>Frt02745</t>
  </si>
  <si>
    <t>0108</t>
  </si>
  <si>
    <t>CRA 35 52 69 CABECERA</t>
  </si>
  <si>
    <t>1001F70000</t>
  </si>
  <si>
    <t>Frt79470</t>
  </si>
  <si>
    <t>0113</t>
  </si>
  <si>
    <t>DGN 105 31 16 LOC 1019 PZM SATELITE DEL SUR</t>
  </si>
  <si>
    <t>Frt78317</t>
  </si>
  <si>
    <t>DGN 105 31 16 LOC 1025 PZM SATELITE DEL SUR</t>
  </si>
  <si>
    <t>1001R00000</t>
  </si>
  <si>
    <t>Frt50742</t>
  </si>
  <si>
    <t>0174</t>
  </si>
  <si>
    <t>CRA 19 34 14 URB CENTRO</t>
  </si>
  <si>
    <t>1001Z60000</t>
  </si>
  <si>
    <t>Frt03185</t>
  </si>
  <si>
    <t>0104</t>
  </si>
  <si>
    <t>KMT 3 VIA GIRON EDES</t>
  </si>
  <si>
    <t>10012Z0000</t>
  </si>
  <si>
    <t>Frt78591</t>
  </si>
  <si>
    <t>0156</t>
  </si>
  <si>
    <t>VDA EL CARRIZAL FCA POMARROSO</t>
  </si>
  <si>
    <t>1001330000</t>
  </si>
  <si>
    <t>Frt01715</t>
  </si>
  <si>
    <t>0154</t>
  </si>
  <si>
    <t>IND KMT 4 VIA CHIMITA</t>
  </si>
  <si>
    <t>1002RG0000</t>
  </si>
  <si>
    <t>Frt03225</t>
  </si>
  <si>
    <t>AUT FLORIDA 54 52</t>
  </si>
  <si>
    <t>10020X0000</t>
  </si>
  <si>
    <t>Frt59537</t>
  </si>
  <si>
    <t>CRA 9 4 47 CENTRO</t>
  </si>
  <si>
    <t>1003AD0000</t>
  </si>
  <si>
    <t>Frt02169</t>
  </si>
  <si>
    <t>VDA MARIBEL LEBRIJA PORTUGAL</t>
  </si>
  <si>
    <t>1003EC0000</t>
  </si>
  <si>
    <t>Frt77095</t>
  </si>
  <si>
    <t>0181</t>
  </si>
  <si>
    <t>VDA LLANA GRANDE GRJ LA ALSACIA</t>
  </si>
  <si>
    <t>1003PJ0000</t>
  </si>
  <si>
    <t>Frt79885</t>
  </si>
  <si>
    <t>CLL 1 1 145 40260</t>
  </si>
  <si>
    <t>1003PX0000</t>
  </si>
  <si>
    <t>Frt75561</t>
  </si>
  <si>
    <t>VDA MESA DE JERIDAS FCA VILLA MONICA</t>
  </si>
  <si>
    <t>1003P30000</t>
  </si>
  <si>
    <t>Frt82066</t>
  </si>
  <si>
    <t>FCA AVICOLA EL MADRONO</t>
  </si>
  <si>
    <t>1003QN0000</t>
  </si>
  <si>
    <t>Frt76963</t>
  </si>
  <si>
    <t>HDA EL CORTIJO GALPONES NRO 3</t>
  </si>
  <si>
    <t>1003UO0000</t>
  </si>
  <si>
    <t>Frt75517</t>
  </si>
  <si>
    <t>VDA DUENDE FCA VILLA PAOLA</t>
  </si>
  <si>
    <t>10030L0000</t>
  </si>
  <si>
    <t>Frt79894</t>
  </si>
  <si>
    <t>FCA GRANJA VILLA PAULINA</t>
  </si>
  <si>
    <t>10031K0000</t>
  </si>
  <si>
    <t>Frt79882</t>
  </si>
  <si>
    <t>VDA GUATIGUARA FCA SANTO DOMINGO C 2</t>
  </si>
  <si>
    <t>10033I0000</t>
  </si>
  <si>
    <t>Frt32293</t>
  </si>
  <si>
    <t>0177</t>
  </si>
  <si>
    <t>CRA 16 47 74 LA CONCORDIA</t>
  </si>
  <si>
    <t>1003580000</t>
  </si>
  <si>
    <t>Frt88421</t>
  </si>
  <si>
    <t>VDA SAN PABLO 221</t>
  </si>
  <si>
    <t>10036I0000</t>
  </si>
  <si>
    <t>Frt79471</t>
  </si>
  <si>
    <t>VDA PALONEGRO FCA LA GALATEA</t>
  </si>
  <si>
    <t>10036U0000</t>
  </si>
  <si>
    <t>Frt76835</t>
  </si>
  <si>
    <t>CLL 42 22 16 EL POBLADO</t>
  </si>
  <si>
    <t>Frt88422</t>
  </si>
  <si>
    <t>CLL 42 22 12 LOC 101 POBLADO</t>
  </si>
  <si>
    <t>10039F0000</t>
  </si>
  <si>
    <t>Frt76836</t>
  </si>
  <si>
    <t>0210</t>
  </si>
  <si>
    <t>HDA HACARITAMA 061 ACAPULCO</t>
  </si>
  <si>
    <t>Frt76834</t>
  </si>
  <si>
    <t>HDA HACARITAMA 061 4</t>
  </si>
  <si>
    <t>1004BT0000</t>
  </si>
  <si>
    <t>Frt82048</t>
  </si>
  <si>
    <t>VDA SAN BENITO GRANJA MESITAS</t>
  </si>
  <si>
    <t>1004E30000</t>
  </si>
  <si>
    <t>Frt79895</t>
  </si>
  <si>
    <t>VDA EL CARRIZALFCA LA LAJAPLANTA DISTRAVES</t>
  </si>
  <si>
    <t>1005O30000</t>
  </si>
  <si>
    <t>Frt79888</t>
  </si>
  <si>
    <t>VDA LA LAJA FCA SAN SEBASTIAN</t>
  </si>
  <si>
    <t>Frt79900</t>
  </si>
  <si>
    <t>VDA CLAVELLINAS</t>
  </si>
  <si>
    <t>1005WS0000</t>
  </si>
  <si>
    <t>Frt70945</t>
  </si>
  <si>
    <t>0305</t>
  </si>
  <si>
    <t>VDA EL CUCHARO FCA PAYANDE</t>
  </si>
  <si>
    <t>1008EA0000</t>
  </si>
  <si>
    <t>Frt30992</t>
  </si>
  <si>
    <t>CLL 49 14 1 COLOMBIA</t>
  </si>
  <si>
    <t>101AGU0000</t>
  </si>
  <si>
    <t>Frt79904</t>
  </si>
  <si>
    <t>VDA MONTENEGRO FCA SANTA MARIA</t>
  </si>
  <si>
    <t>101AHM0000</t>
  </si>
  <si>
    <t>Frt81766</t>
  </si>
  <si>
    <t>0209</t>
  </si>
  <si>
    <t>FCA LA ESPERANZA LOTE 01</t>
  </si>
  <si>
    <t>101AJP0000</t>
  </si>
  <si>
    <t>Frt75112</t>
  </si>
  <si>
    <t>VDA SAN NICOLAS FCA LAS PALMAS</t>
  </si>
  <si>
    <t>101AO40000</t>
  </si>
  <si>
    <t>Frt89151</t>
  </si>
  <si>
    <t>0120</t>
  </si>
  <si>
    <t>CRA 25 30 74</t>
  </si>
  <si>
    <t>1015ZW0000</t>
  </si>
  <si>
    <t>Frt19849</t>
  </si>
  <si>
    <t>VDA EL CARRIZAL RADIO LENGERK</t>
  </si>
  <si>
    <t>10162C0000</t>
  </si>
  <si>
    <t>Frt64933</t>
  </si>
  <si>
    <t>CRA 33 45 12 LOC 5 ESQUINA</t>
  </si>
  <si>
    <t>1018F10000</t>
  </si>
  <si>
    <t>Frt03135</t>
  </si>
  <si>
    <t>0265</t>
  </si>
  <si>
    <t>CLL 11 13 13 SAN VICENT</t>
  </si>
  <si>
    <t>10182W0000</t>
  </si>
  <si>
    <t>Frt80667</t>
  </si>
  <si>
    <t>AVE REPUB 22  36 C13 2240 1 SAN FRANCISCO</t>
  </si>
  <si>
    <t>1019060000</t>
  </si>
  <si>
    <t>Frt54517</t>
  </si>
  <si>
    <t>CRA 26 41 21 EL POBLADO</t>
  </si>
  <si>
    <t>Frt56572</t>
  </si>
  <si>
    <t>CRA 26 41 19 APT 301 EL POBLADO</t>
  </si>
  <si>
    <t>Frt58717</t>
  </si>
  <si>
    <t>CRA 26 41 19 APT 401 EL POBLADO</t>
  </si>
  <si>
    <t>Frt54516</t>
  </si>
  <si>
    <t>CRA 26 41 19 APT 201 EL POBLADO</t>
  </si>
  <si>
    <t>7781717</t>
  </si>
  <si>
    <t>Frt89335</t>
  </si>
  <si>
    <t>0230</t>
  </si>
  <si>
    <t>VDA MONTERREY EDS TERPEL KM 4 MARKET ALTOQUE</t>
  </si>
  <si>
    <t>7788211</t>
  </si>
  <si>
    <t>Frt65213</t>
  </si>
  <si>
    <t>0037</t>
  </si>
  <si>
    <t>CRA 8 VA 3 N 4 LOC B103 CCO DE LA CUESTA</t>
  </si>
  <si>
    <t>Frt65384</t>
  </si>
  <si>
    <t>CRA 8 VA 3 N 4 LOC BD07 CCO DE LA CUESTA</t>
  </si>
  <si>
    <t>7797375</t>
  </si>
  <si>
    <t>Frt89336</t>
  </si>
  <si>
    <t>ANL A G VIAL FDA A GIRON 11 20 ARANZOQUE</t>
  </si>
  <si>
    <t>7799273</t>
  </si>
  <si>
    <t>Frt76924</t>
  </si>
  <si>
    <t>VDA MAJADAL FCA SAN JOSE</t>
  </si>
  <si>
    <t>0135619</t>
  </si>
  <si>
    <t>Frt03761</t>
  </si>
  <si>
    <t>0059</t>
  </si>
  <si>
    <t>CLL 10 CRA 24 COLOMBIA</t>
  </si>
  <si>
    <t>Frt89415</t>
  </si>
  <si>
    <t>CLL 52 B 31 28</t>
  </si>
  <si>
    <t>100PYL0000</t>
  </si>
  <si>
    <t>Frt90219</t>
  </si>
  <si>
    <t>0193</t>
  </si>
  <si>
    <t>CRA 15 1C 40 IN 1 LOC SAN CARLOS</t>
  </si>
  <si>
    <t>Frt90196</t>
  </si>
  <si>
    <t>CRA 15 1C 40 IN 2 OF EDS TERPEL SAN CARLOS</t>
  </si>
  <si>
    <t>1</t>
  </si>
  <si>
    <t>10007H0000</t>
  </si>
  <si>
    <t>Frt92051</t>
  </si>
  <si>
    <t>CLL 34 15 61 LOC 01</t>
  </si>
  <si>
    <t>1004JN0000</t>
  </si>
  <si>
    <t>Frt88415</t>
  </si>
  <si>
    <t>VDA PORTUGAL FCA EL CACIQUE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</si>
</sst>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ler"/>
    </font>
    <font>
      <b/>
      <sz val="11"/>
      <color theme="1"/>
      <name val="Aller"/>
    </font>
    <font>
      <b/>
      <sz val="36"/>
      <color theme="4" tint="-0.249977111117893"/>
      <name val="Aller"/>
    </font>
    <font>
      <sz val="14"/>
      <color theme="1"/>
      <name val="Aller"/>
    </font>
    <font>
      <sz val="16"/>
      <color theme="4" tint="-0.499984740745262"/>
      <name val="Arial"/>
      <family val="2"/>
    </font>
    <font>
      <b/>
      <sz val="48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0" xfId="0" applyFont="1" applyFill="1"/>
    <xf numFmtId="0" fontId="2" fillId="2" borderId="0" xfId="0" applyFont="1" applyFill="1"/>
    <xf numFmtId="164" fontId="5" fillId="2" borderId="0" xfId="0" applyNumberFormat="1" applyFont="1" applyFill="1" applyAlignment="1">
      <alignment horizontal="left"/>
    </xf>
    <xf numFmtId="0" fontId="0" fillId="3" borderId="0" xfId="0" applyFill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19050</xdr:rowOff>
    </xdr:from>
    <xdr:to>
      <xdr:col>11</xdr:col>
      <xdr:colOff>1114425</xdr:colOff>
      <xdr:row>7</xdr:row>
      <xdr:rowOff>171450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704948D-2E76-D495-7C85-FDC77FA0DE8C}"/>
            </a:ext>
          </a:extLst>
        </xdr:cNvPr>
        <xdr:cNvSpPr/>
      </xdr:nvSpPr>
      <xdr:spPr>
        <a:xfrm>
          <a:off x="3009900" y="19050"/>
          <a:ext cx="11106150" cy="17335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12</xdr:col>
      <xdr:colOff>838200</xdr:colOff>
      <xdr:row>1</xdr:row>
      <xdr:rowOff>66675</xdr:rowOff>
    </xdr:from>
    <xdr:to>
      <xdr:col>14</xdr:col>
      <xdr:colOff>121873</xdr:colOff>
      <xdr:row>6</xdr:row>
      <xdr:rowOff>66675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7E341F3-634B-4F69-AE7F-21E0DBC25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257175"/>
          <a:ext cx="1836373" cy="1200150"/>
        </a:xfrm>
        <a:prstGeom prst="rect">
          <a:avLst/>
        </a:prstGeom>
      </xdr:spPr>
    </xdr:pic>
    <xdr:clientData/>
  </xdr:twoCellAnchor>
  <xdr:oneCellAnchor>
    <xdr:from>
      <xdr:col>4</xdr:col>
      <xdr:colOff>1536825</xdr:colOff>
      <xdr:row>0</xdr:row>
      <xdr:rowOff>155073</xdr:rowOff>
    </xdr:from>
    <xdr:ext cx="6489470" cy="1272592"/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D38DEF5D-A60E-509D-F637-1712B2988261}"/>
            </a:ext>
          </a:extLst>
        </xdr:cNvPr>
        <xdr:cNvSpPr/>
      </xdr:nvSpPr>
      <xdr:spPr>
        <a:xfrm>
          <a:off x="5451600" y="155073"/>
          <a:ext cx="6489470" cy="1272592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prstMaterial="matte"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ES" sz="4400" b="1" u="sng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Formato TC</a:t>
          </a:r>
          <a:r>
            <a:rPr lang="es-ES" sz="4400" b="1" u="sng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  <a:cs typeface="AngsanaUPC" panose="020B0502040204020203" pitchFamily="18" charset="-34"/>
            </a:rPr>
            <a:t>1</a:t>
          </a:r>
          <a:r>
            <a:rPr lang="es-ES" sz="4400" b="1" u="sng" cap="none" spc="0" baseline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 </a:t>
          </a:r>
          <a:r>
            <a:rPr lang="es-ES" sz="4400" b="1" u="sng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Preliminar*</a:t>
          </a:r>
        </a:p>
        <a:p>
          <a:pPr algn="ctr"/>
          <a:r>
            <a:rPr lang="es-ES" sz="3200" b="1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Caracterización</a:t>
          </a:r>
          <a:r>
            <a:rPr lang="es-ES" sz="3200" b="1" cap="none" spc="0" baseline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 de Usuarios</a:t>
          </a:r>
          <a:endParaRPr lang="es-ES" sz="3200" b="1" cap="none" spc="0">
            <a:ln/>
            <a:solidFill>
              <a:schemeClr val="bg1"/>
            </a:solidFill>
            <a:effectLst/>
            <a:latin typeface="Aller" panose="02000503030000020004" pitchFamily="2" charset="0"/>
          </a:endParaRPr>
        </a:p>
      </xdr:txBody>
    </xdr:sp>
    <xdr:clientData/>
  </xdr:oneCellAnchor>
  <xdr:oneCellAnchor>
    <xdr:from>
      <xdr:col>3</xdr:col>
      <xdr:colOff>781050</xdr:colOff>
      <xdr:row>6</xdr:row>
      <xdr:rowOff>66675</xdr:rowOff>
    </xdr:from>
    <xdr:ext cx="9149108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705C90-55EA-2645-2519-B0C1001A1B6A}"/>
            </a:ext>
          </a:extLst>
        </xdr:cNvPr>
        <xdr:cNvSpPr txBox="1"/>
      </xdr:nvSpPr>
      <xdr:spPr>
        <a:xfrm>
          <a:off x="3762375" y="1457325"/>
          <a:ext cx="91491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rgbClr val="FFFF00"/>
              </a:solidFill>
            </a:rPr>
            <a:t>*</a:t>
          </a:r>
          <a:r>
            <a:rPr lang="es-CO" sz="1100" b="1" baseline="0">
              <a:solidFill>
                <a:srgbClr val="FFFF00"/>
              </a:solidFill>
            </a:rPr>
            <a:t> </a:t>
          </a:r>
          <a:r>
            <a:rPr lang="es-CO" sz="1100" b="1">
              <a:solidFill>
                <a:srgbClr val="FFFF00"/>
              </a:solidFill>
            </a:rPr>
            <a:t>Información</a:t>
          </a:r>
          <a:r>
            <a:rPr lang="es-CO" sz="1100" b="1" baseline="0">
              <a:solidFill>
                <a:srgbClr val="FFFF00"/>
              </a:solidFill>
            </a:rPr>
            <a:t> </a:t>
          </a:r>
          <a:r>
            <a:rPr lang="es-CO" sz="1100" b="1" u="sng" baseline="0">
              <a:solidFill>
                <a:srgbClr val="FFFF00"/>
              </a:solidFill>
            </a:rPr>
            <a:t>preliminar</a:t>
          </a:r>
          <a:r>
            <a:rPr lang="es-CO" sz="1100" b="1" baseline="0">
              <a:solidFill>
                <a:srgbClr val="FFFF00"/>
              </a:solidFill>
            </a:rPr>
            <a:t> para comentarios de comercializadores del mercado Santander (160)  OR ESSA. ""Plazo regulatorio del dia 9 al 12 de cada mes"".</a:t>
          </a:r>
          <a:endParaRPr lang="es-CO" sz="1100" b="1">
            <a:solidFill>
              <a:srgbClr val="FFFF00"/>
            </a:solidFill>
          </a:endParaRPr>
        </a:p>
      </xdr:txBody>
    </xdr:sp>
    <xdr:clientData/>
  </xdr:oneCellAnchor>
  <xdr:twoCellAnchor>
    <xdr:from>
      <xdr:col>0</xdr:col>
      <xdr:colOff>0</xdr:colOff>
      <xdr:row>0</xdr:row>
      <xdr:rowOff>19050</xdr:rowOff>
    </xdr:from>
    <xdr:to>
      <xdr:col>2</xdr:col>
      <xdr:colOff>85725</xdr:colOff>
      <xdr:row>1</xdr:row>
      <xdr:rowOff>123825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BB412D1-9CA6-A3C8-E6A6-7BB950D631D2}"/>
            </a:ext>
          </a:extLst>
        </xdr:cNvPr>
        <xdr:cNvSpPr/>
      </xdr:nvSpPr>
      <xdr:spPr>
        <a:xfrm>
          <a:off x="0" y="19050"/>
          <a:ext cx="2085975" cy="2952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400" b="1">
              <a:latin typeface="Arial Narrow" panose="020B0606020202030204" pitchFamily="34" charset="0"/>
            </a:rPr>
            <a:t>PERIODO:</a:t>
          </a:r>
        </a:p>
      </xdr:txBody>
    </xdr:sp>
    <xdr:clientData/>
  </xdr:twoCellAnchor>
  <xdr:twoCellAnchor>
    <xdr:from>
      <xdr:col>0</xdr:col>
      <xdr:colOff>38100</xdr:colOff>
      <xdr:row>3</xdr:row>
      <xdr:rowOff>76200</xdr:rowOff>
    </xdr:from>
    <xdr:to>
      <xdr:col>2</xdr:col>
      <xdr:colOff>114300</xdr:colOff>
      <xdr:row>4</xdr:row>
      <xdr:rowOff>95250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027465A-BC67-4732-915B-F3A80EEC8D45}"/>
            </a:ext>
          </a:extLst>
        </xdr:cNvPr>
        <xdr:cNvSpPr/>
      </xdr:nvSpPr>
      <xdr:spPr>
        <a:xfrm>
          <a:off x="38100" y="809625"/>
          <a:ext cx="2076450" cy="2952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400" b="1">
              <a:latin typeface="Arial Narrow" panose="020B0606020202030204" pitchFamily="34" charset="0"/>
            </a:rPr>
            <a:t>CANTIDAD DE CLIENTES:</a:t>
          </a:r>
        </a:p>
      </xdr:txBody>
    </xdr:sp>
    <xdr:clientData/>
  </xdr:twoCellAnchor>
  <xdr:twoCellAnchor>
    <xdr:from>
      <xdr:col>20</xdr:col>
      <xdr:colOff>28575</xdr:colOff>
      <xdr:row>0</xdr:row>
      <xdr:rowOff>19050</xdr:rowOff>
    </xdr:from>
    <xdr:to>
      <xdr:col>28</xdr:col>
      <xdr:colOff>1114425</xdr:colOff>
      <xdr:row>7</xdr:row>
      <xdr:rowOff>171450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FF5ECAB-E608-4C80-92F9-18082B7AC97E}"/>
            </a:ext>
          </a:extLst>
        </xdr:cNvPr>
        <xdr:cNvSpPr/>
      </xdr:nvSpPr>
      <xdr:spPr>
        <a:xfrm>
          <a:off x="23460075" y="19050"/>
          <a:ext cx="10582275" cy="17335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29</xdr:col>
      <xdr:colOff>838200</xdr:colOff>
      <xdr:row>1</xdr:row>
      <xdr:rowOff>66675</xdr:rowOff>
    </xdr:from>
    <xdr:ext cx="1836373" cy="1200150"/>
    <xdr:pic>
      <xdr:nvPicPr>
        <xdr:cNvPr id="7" name="Imagen 6">
          <a:extLst>
            <a:ext uri="{FF2B5EF4-FFF2-40B4-BE49-F238E27FC236}">
              <a16:creationId xmlns:a16="http://schemas.microsoft.com/office/drawing/2014/main" id="{955BC016-1187-4C50-B8C9-466013287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257175"/>
          <a:ext cx="1836373" cy="1200150"/>
        </a:xfrm>
        <a:prstGeom prst="rect">
          <a:avLst/>
        </a:prstGeom>
      </xdr:spPr>
    </xdr:pic>
    <xdr:clientData/>
  </xdr:oneCellAnchor>
  <xdr:oneCellAnchor>
    <xdr:from>
      <xdr:col>23</xdr:col>
      <xdr:colOff>270000</xdr:colOff>
      <xdr:row>0</xdr:row>
      <xdr:rowOff>97923</xdr:rowOff>
    </xdr:from>
    <xdr:ext cx="6489470" cy="1272592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CC02764-8225-49B8-ACCC-1F62D2CFA6AB}"/>
            </a:ext>
          </a:extLst>
        </xdr:cNvPr>
        <xdr:cNvSpPr/>
      </xdr:nvSpPr>
      <xdr:spPr>
        <a:xfrm>
          <a:off x="25520775" y="97923"/>
          <a:ext cx="6489470" cy="1272592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prstMaterial="matte"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ES" sz="4400" b="1" u="sng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Formato TC</a:t>
          </a:r>
          <a:r>
            <a:rPr lang="es-ES" sz="4400" b="1" u="sng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  <a:cs typeface="AngsanaUPC" panose="020B0502040204020203" pitchFamily="18" charset="-34"/>
            </a:rPr>
            <a:t>1</a:t>
          </a:r>
          <a:r>
            <a:rPr lang="es-ES" sz="4400" b="1" u="sng" cap="none" spc="0" baseline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 </a:t>
          </a:r>
          <a:r>
            <a:rPr lang="es-ES" sz="4400" b="1" u="sng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Preliminar*</a:t>
          </a:r>
        </a:p>
        <a:p>
          <a:pPr algn="ctr"/>
          <a:r>
            <a:rPr lang="es-ES" sz="3200" b="1" cap="none" spc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Caracterización</a:t>
          </a:r>
          <a:r>
            <a:rPr lang="es-ES" sz="3200" b="1" cap="none" spc="0" baseline="0">
              <a:ln/>
              <a:solidFill>
                <a:schemeClr val="bg1"/>
              </a:solidFill>
              <a:effectLst/>
              <a:latin typeface="Aller" panose="02000503030000020004" pitchFamily="2" charset="0"/>
            </a:rPr>
            <a:t> de Usuarios</a:t>
          </a:r>
          <a:endParaRPr lang="es-ES" sz="3200" b="1" cap="none" spc="0">
            <a:ln/>
            <a:solidFill>
              <a:schemeClr val="bg1"/>
            </a:solidFill>
            <a:effectLst/>
            <a:latin typeface="Aller" panose="02000503030000020004" pitchFamily="2" charset="0"/>
          </a:endParaRPr>
        </a:p>
      </xdr:txBody>
    </xdr:sp>
    <xdr:clientData/>
  </xdr:oneCellAnchor>
  <xdr:oneCellAnchor>
    <xdr:from>
      <xdr:col>20</xdr:col>
      <xdr:colOff>781050</xdr:colOff>
      <xdr:row>6</xdr:row>
      <xdr:rowOff>66675</xdr:rowOff>
    </xdr:from>
    <xdr:ext cx="9149108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DA786C5B-1CBD-4D66-8F7D-E003AA0198B5}"/>
            </a:ext>
          </a:extLst>
        </xdr:cNvPr>
        <xdr:cNvSpPr txBox="1"/>
      </xdr:nvSpPr>
      <xdr:spPr>
        <a:xfrm>
          <a:off x="3762375" y="1457325"/>
          <a:ext cx="91491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100" b="1">
              <a:solidFill>
                <a:srgbClr val="FFFF00"/>
              </a:solidFill>
            </a:rPr>
            <a:t>*</a:t>
          </a:r>
          <a:r>
            <a:rPr lang="es-CO" sz="1100" b="1" baseline="0">
              <a:solidFill>
                <a:srgbClr val="FFFF00"/>
              </a:solidFill>
            </a:rPr>
            <a:t> </a:t>
          </a:r>
          <a:r>
            <a:rPr lang="es-CO" sz="1100" b="1">
              <a:solidFill>
                <a:srgbClr val="FFFF00"/>
              </a:solidFill>
            </a:rPr>
            <a:t>Información</a:t>
          </a:r>
          <a:r>
            <a:rPr lang="es-CO" sz="1100" b="1" baseline="0">
              <a:solidFill>
                <a:srgbClr val="FFFF00"/>
              </a:solidFill>
            </a:rPr>
            <a:t> </a:t>
          </a:r>
          <a:r>
            <a:rPr lang="es-CO" sz="1100" b="1" u="sng" baseline="0">
              <a:solidFill>
                <a:srgbClr val="FFFF00"/>
              </a:solidFill>
            </a:rPr>
            <a:t>preliminar</a:t>
          </a:r>
          <a:r>
            <a:rPr lang="es-CO" sz="1100" b="1" baseline="0">
              <a:solidFill>
                <a:srgbClr val="FFFF00"/>
              </a:solidFill>
            </a:rPr>
            <a:t> para comentarios de comercializadores del mercado Santander (160)  OR ESSA. ""Plazo regulatorio del dia 9 al 12 de cada mes"".</a:t>
          </a:r>
          <a:endParaRPr lang="es-CO" sz="1100" b="1">
            <a:solidFill>
              <a:srgbClr val="FFFF00"/>
            </a:solidFill>
          </a:endParaRPr>
        </a:p>
      </xdr:txBody>
    </xdr:sp>
    <xdr:clientData/>
  </xdr:oneCellAnchor>
  <xdr:twoCellAnchor>
    <xdr:from>
      <xdr:col>17</xdr:col>
      <xdr:colOff>0</xdr:colOff>
      <xdr:row>0</xdr:row>
      <xdr:rowOff>19050</xdr:rowOff>
    </xdr:from>
    <xdr:to>
      <xdr:col>19</xdr:col>
      <xdr:colOff>85725</xdr:colOff>
      <xdr:row>1</xdr:row>
      <xdr:rowOff>123825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90C0304-FF36-4521-83C2-D17D75531BCC}"/>
            </a:ext>
          </a:extLst>
        </xdr:cNvPr>
        <xdr:cNvSpPr/>
      </xdr:nvSpPr>
      <xdr:spPr>
        <a:xfrm>
          <a:off x="0" y="19050"/>
          <a:ext cx="2085975" cy="2952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400" b="1">
              <a:latin typeface="Arial Narrow" panose="020B0606020202030204" pitchFamily="34" charset="0"/>
            </a:rPr>
            <a:t>PERIODO:</a:t>
          </a:r>
        </a:p>
      </xdr:txBody>
    </xdr:sp>
    <xdr:clientData/>
  </xdr:twoCellAnchor>
  <xdr:twoCellAnchor>
    <xdr:from>
      <xdr:col>17</xdr:col>
      <xdr:colOff>38100</xdr:colOff>
      <xdr:row>3</xdr:row>
      <xdr:rowOff>76200</xdr:rowOff>
    </xdr:from>
    <xdr:to>
      <xdr:col>19</xdr:col>
      <xdr:colOff>114300</xdr:colOff>
      <xdr:row>4</xdr:row>
      <xdr:rowOff>95250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514C70EF-3DEB-432C-B0BC-842F0A6087A6}"/>
            </a:ext>
          </a:extLst>
        </xdr:cNvPr>
        <xdr:cNvSpPr/>
      </xdr:nvSpPr>
      <xdr:spPr>
        <a:xfrm>
          <a:off x="38100" y="809625"/>
          <a:ext cx="2076450" cy="2952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400" b="1">
              <a:latin typeface="Arial Narrow" panose="020B0606020202030204" pitchFamily="34" charset="0"/>
            </a:rPr>
            <a:t>CANTIDAD DE CLIENTES:</a:t>
          </a:r>
        </a:p>
      </xdr:txBody>
    </xdr:sp>
    <xdr:clientData/>
  </xdr:twoCellAnchor>
  <xdr:twoCellAnchor>
    <xdr:from>
      <xdr:col>0</xdr:col>
      <xdr:colOff>581025</xdr:colOff>
      <xdr:row>8</xdr:row>
      <xdr:rowOff>161925</xdr:rowOff>
    </xdr:from>
    <xdr:to>
      <xdr:col>14</xdr:col>
      <xdr:colOff>161925</xdr:colOff>
      <xdr:row>8</xdr:row>
      <xdr:rowOff>200025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8814FB0D-664C-19CF-A7BE-7F96E17E4EB0}"/>
            </a:ext>
          </a:extLst>
        </xdr:cNvPr>
        <xdr:cNvCxnSpPr/>
      </xdr:nvCxnSpPr>
      <xdr:spPr>
        <a:xfrm flipV="1">
          <a:off x="581025" y="1943100"/>
          <a:ext cx="16259175" cy="3810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504825</xdr:colOff>
      <xdr:row>8</xdr:row>
      <xdr:rowOff>133350</xdr:rowOff>
    </xdr:from>
    <xdr:to>
      <xdr:col>30</xdr:col>
      <xdr:colOff>1447800</xdr:colOff>
      <xdr:row>8</xdr:row>
      <xdr:rowOff>171450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9C40B294-E39A-4B35-B4D3-56F3639F1BC8}"/>
            </a:ext>
          </a:extLst>
        </xdr:cNvPr>
        <xdr:cNvCxnSpPr/>
      </xdr:nvCxnSpPr>
      <xdr:spPr>
        <a:xfrm flipV="1">
          <a:off x="20221575" y="1914525"/>
          <a:ext cx="16259175" cy="3810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9AF1DB6-EE73-4673-B385-B0A45D138152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BB614B1-4674-40F7-8CAE-8760ACFB7DCF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CFFE-DFB2-4A0E-B35B-821836E54207}">
  <sheetPr codeName="Hoja1"/>
  <dimension ref="A1:AE125"/>
  <sheetViews>
    <sheetView showGridLines="0" tabSelected="1" topLeftCell="H1" workbookViewId="0">
      <pane ySplit="10" topLeftCell="A118" activePane="bottomLeft" state="frozen"/>
      <selection pane="bottomLeft" activeCell="A11" sqref="A11:AE125"/>
    </sheetView>
  </sheetViews>
  <sheetFormatPr baseColWidth="10" defaultRowHeight="14.4"/>
  <cols>
    <col min="1" max="1" width="12" customWidth="1"/>
    <col min="2" max="2" width="18" bestFit="1" customWidth="1"/>
    <col min="3" max="3" width="14.6640625" bestFit="1" customWidth="1"/>
    <col min="4" max="4" width="14" bestFit="1" customWidth="1"/>
    <col min="5" max="5" width="23.44140625" bestFit="1" customWidth="1"/>
    <col min="6" max="6" width="22.88671875" bestFit="1" customWidth="1"/>
    <col min="7" max="7" width="14" bestFit="1" customWidth="1"/>
    <col min="8" max="8" width="20.109375" bestFit="1" customWidth="1"/>
    <col min="9" max="9" width="12" bestFit="1" customWidth="1"/>
    <col min="10" max="10" width="15.33203125" bestFit="1" customWidth="1"/>
    <col min="11" max="11" width="28.5546875" bestFit="1" customWidth="1"/>
    <col min="12" max="12" width="16.88671875" bestFit="1" customWidth="1"/>
    <col min="13" max="13" width="25" bestFit="1" customWidth="1"/>
    <col min="14" max="14" width="13.33203125" bestFit="1" customWidth="1"/>
    <col min="15" max="15" width="11.109375" bestFit="1" customWidth="1"/>
    <col min="16" max="16" width="10.6640625" bestFit="1" customWidth="1"/>
    <col min="17" max="17" width="23.6640625" bestFit="1" customWidth="1"/>
    <col min="18" max="18" width="18.44140625" bestFit="1" customWidth="1"/>
    <col min="19" max="19" width="21.6640625" bestFit="1" customWidth="1"/>
    <col min="20" max="20" width="15.5546875" bestFit="1" customWidth="1"/>
    <col min="21" max="21" width="8.44140625" bestFit="1" customWidth="1"/>
    <col min="22" max="22" width="10.44140625" bestFit="1" customWidth="1"/>
    <col min="23" max="23" width="8.44140625" bestFit="1" customWidth="1"/>
    <col min="24" max="24" width="17.44140625" bestFit="1" customWidth="1"/>
    <col min="25" max="25" width="17.109375" bestFit="1" customWidth="1"/>
    <col min="26" max="26" width="28.109375" bestFit="1" customWidth="1"/>
    <col min="27" max="27" width="17.109375" bestFit="1" customWidth="1"/>
    <col min="28" max="28" width="30.88671875" customWidth="1"/>
    <col min="29" max="29" width="17.44140625" customWidth="1"/>
    <col min="30" max="30" width="18.5546875" customWidth="1"/>
    <col min="31" max="31" width="24.6640625" customWidth="1"/>
  </cols>
  <sheetData>
    <row r="1" spans="1:31">
      <c r="A1" s="2"/>
      <c r="B1" s="2"/>
      <c r="C1" s="2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R1" s="2"/>
      <c r="S1" s="2"/>
      <c r="T1" s="2"/>
      <c r="U1" s="4"/>
      <c r="V1" s="4"/>
      <c r="W1" s="4"/>
      <c r="X1" s="4"/>
      <c r="Y1" s="4"/>
      <c r="Z1" s="4"/>
      <c r="AA1" s="4"/>
      <c r="AB1" s="4"/>
      <c r="AC1" s="4"/>
      <c r="AD1" s="5"/>
      <c r="AE1" s="5"/>
    </row>
    <row r="2" spans="1:31" ht="17.399999999999999">
      <c r="A2" s="6"/>
      <c r="B2" s="3"/>
      <c r="C2" s="2"/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5"/>
      <c r="R2" s="6"/>
      <c r="S2" s="3"/>
      <c r="T2" s="2"/>
      <c r="U2" s="4"/>
      <c r="V2" s="4"/>
      <c r="W2" s="4"/>
      <c r="X2" s="4"/>
      <c r="Y2" s="4"/>
      <c r="Z2" s="4"/>
      <c r="AA2" s="4"/>
      <c r="AB2" s="4"/>
      <c r="AC2" s="4"/>
      <c r="AD2" s="5"/>
      <c r="AE2" s="5"/>
    </row>
    <row r="3" spans="1:31" ht="24" customHeight="1">
      <c r="A3" s="9">
        <f ca="1">+TODAY()-30</f>
        <v>46061</v>
      </c>
      <c r="B3" s="9"/>
      <c r="C3" s="9"/>
      <c r="D3" s="4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R3" s="9">
        <f ca="1">+TODAY()-30</f>
        <v>46061</v>
      </c>
      <c r="S3" s="9"/>
      <c r="T3" s="9"/>
      <c r="U3" s="4"/>
      <c r="V3" s="4"/>
      <c r="W3" s="4"/>
      <c r="X3" s="4"/>
      <c r="Y3" s="4"/>
      <c r="Z3" s="4"/>
      <c r="AA3" s="4"/>
      <c r="AB3" s="4"/>
      <c r="AC3" s="4"/>
      <c r="AD3" s="5"/>
      <c r="AE3" s="5"/>
    </row>
    <row r="4" spans="1:31" ht="21.75" customHeight="1">
      <c r="A4" s="7"/>
      <c r="B4" s="1"/>
      <c r="C4" s="1"/>
      <c r="D4" s="4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R4" s="7"/>
      <c r="S4" s="1"/>
      <c r="T4" s="1"/>
      <c r="U4" s="4"/>
      <c r="V4" s="4"/>
      <c r="W4" s="4"/>
      <c r="X4" s="4"/>
      <c r="Y4" s="4"/>
      <c r="Z4" s="4"/>
      <c r="AA4" s="4"/>
      <c r="AB4" s="4"/>
      <c r="AC4" s="4"/>
      <c r="AD4" s="5"/>
      <c r="AE4" s="5"/>
    </row>
    <row r="5" spans="1:31" ht="15" customHeight="1">
      <c r="A5" s="10">
        <f>+SUBTOTAL(2,D:D)</f>
        <v>115</v>
      </c>
      <c r="B5" s="10"/>
      <c r="C5" s="10"/>
      <c r="D5" s="4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R5" s="10">
        <f>+SUBTOTAL(2,U:U)</f>
        <v>115</v>
      </c>
      <c r="S5" s="10"/>
      <c r="T5" s="10"/>
      <c r="U5" s="4"/>
      <c r="V5" s="4"/>
      <c r="W5" s="4"/>
      <c r="X5" s="4"/>
      <c r="Y5" s="4"/>
      <c r="Z5" s="4"/>
      <c r="AA5" s="4"/>
      <c r="AB5" s="4"/>
      <c r="AC5" s="4"/>
      <c r="AD5" s="5"/>
      <c r="AE5" s="5"/>
    </row>
    <row r="6" spans="1:31" ht="15" customHeight="1">
      <c r="A6" s="10"/>
      <c r="B6" s="10"/>
      <c r="C6" s="10"/>
      <c r="D6" s="4"/>
      <c r="E6" s="4"/>
      <c r="F6" s="4"/>
      <c r="G6" s="4"/>
      <c r="H6" s="4"/>
      <c r="I6" s="4"/>
      <c r="J6" s="4"/>
      <c r="K6" s="4"/>
      <c r="L6" s="4"/>
      <c r="M6" s="5"/>
      <c r="N6" s="5"/>
      <c r="O6" s="5"/>
      <c r="R6" s="10"/>
      <c r="S6" s="10"/>
      <c r="T6" s="10"/>
      <c r="U6" s="4"/>
      <c r="V6" s="4"/>
      <c r="W6" s="4"/>
      <c r="X6" s="4"/>
      <c r="Y6" s="4"/>
      <c r="Z6" s="4"/>
      <c r="AA6" s="4"/>
      <c r="AB6" s="4"/>
      <c r="AC6" s="4"/>
      <c r="AD6" s="5"/>
      <c r="AE6" s="5"/>
    </row>
    <row r="7" spans="1:31" ht="15" customHeight="1">
      <c r="A7" s="10"/>
      <c r="B7" s="10"/>
      <c r="C7" s="10"/>
      <c r="D7" s="4"/>
      <c r="E7" s="4"/>
      <c r="F7" s="4"/>
      <c r="G7" s="4"/>
      <c r="H7" s="4"/>
      <c r="I7" s="4"/>
      <c r="J7" s="4"/>
      <c r="K7" s="4"/>
      <c r="L7" s="4"/>
      <c r="M7" s="5"/>
      <c r="N7" s="5"/>
      <c r="O7" s="5"/>
      <c r="R7" s="10"/>
      <c r="S7" s="10"/>
      <c r="T7" s="10"/>
      <c r="U7" s="4"/>
      <c r="V7" s="4"/>
      <c r="W7" s="4"/>
      <c r="X7" s="4"/>
      <c r="Y7" s="4"/>
      <c r="Z7" s="4"/>
      <c r="AA7" s="4"/>
      <c r="AB7" s="4"/>
      <c r="AC7" s="4"/>
      <c r="AD7" s="5"/>
      <c r="AE7" s="5"/>
    </row>
    <row r="8" spans="1:31" ht="15.75" customHeight="1">
      <c r="A8" s="10"/>
      <c r="B8" s="10"/>
      <c r="C8" s="10"/>
      <c r="D8" s="4"/>
      <c r="E8" s="4"/>
      <c r="F8" s="4"/>
      <c r="G8" s="4"/>
      <c r="H8" s="4"/>
      <c r="I8" s="4"/>
      <c r="J8" s="4"/>
      <c r="K8" s="4"/>
      <c r="L8" s="4"/>
      <c r="M8" s="5"/>
      <c r="N8" s="5"/>
      <c r="O8" s="5"/>
      <c r="R8" s="10"/>
      <c r="S8" s="10"/>
      <c r="T8" s="10"/>
      <c r="U8" s="4"/>
      <c r="V8" s="4"/>
      <c r="W8" s="4"/>
      <c r="X8" s="4"/>
      <c r="Y8" s="4"/>
      <c r="Z8" s="4"/>
      <c r="AA8" s="4"/>
      <c r="AB8" s="4"/>
      <c r="AC8" s="4"/>
      <c r="AD8" s="5"/>
      <c r="AE8" s="5"/>
    </row>
    <row r="9" spans="1:31" ht="25.5" customHeight="1"/>
    <row r="10" spans="1:31" ht="22.5" customHeight="1">
      <c r="A10" s="8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5</v>
      </c>
      <c r="G10" s="8" t="s">
        <v>6</v>
      </c>
      <c r="H10" s="8" t="s">
        <v>7</v>
      </c>
      <c r="I10" s="8" t="s">
        <v>8</v>
      </c>
      <c r="J10" s="8" t="s">
        <v>9</v>
      </c>
      <c r="K10" s="8" t="s">
        <v>10</v>
      </c>
      <c r="L10" s="8" t="s">
        <v>11</v>
      </c>
      <c r="M10" s="8" t="s">
        <v>12</v>
      </c>
      <c r="N10" s="8" t="s">
        <v>13</v>
      </c>
      <c r="O10" s="8" t="s">
        <v>14</v>
      </c>
      <c r="P10" s="8" t="s">
        <v>15</v>
      </c>
      <c r="Q10" s="8" t="s">
        <v>16</v>
      </c>
      <c r="R10" s="8" t="s">
        <v>17</v>
      </c>
      <c r="S10" s="8" t="s">
        <v>18</v>
      </c>
      <c r="T10" s="8" t="s">
        <v>19</v>
      </c>
      <c r="U10" s="8" t="s">
        <v>20</v>
      </c>
      <c r="V10" s="8" t="s">
        <v>21</v>
      </c>
      <c r="W10" s="8" t="s">
        <v>22</v>
      </c>
      <c r="X10" s="8" t="s">
        <v>23</v>
      </c>
      <c r="Y10" s="8" t="s">
        <v>24</v>
      </c>
      <c r="Z10" s="8" t="s">
        <v>25</v>
      </c>
      <c r="AA10" s="8" t="s">
        <v>26</v>
      </c>
      <c r="AB10" s="8" t="s">
        <v>27</v>
      </c>
      <c r="AC10" s="8" t="s">
        <v>28</v>
      </c>
      <c r="AD10" s="8" t="s">
        <v>29</v>
      </c>
      <c r="AE10" s="8" t="s">
        <v>30</v>
      </c>
    </row>
    <row r="11" spans="1:31">
      <c r="A11">
        <v>1401767</v>
      </c>
      <c r="B11" t="s">
        <v>31</v>
      </c>
      <c r="C11">
        <v>2</v>
      </c>
      <c r="D11">
        <v>1</v>
      </c>
      <c r="E11">
        <v>2</v>
      </c>
      <c r="F11">
        <v>0</v>
      </c>
      <c r="G11">
        <v>2</v>
      </c>
      <c r="H11">
        <v>62371</v>
      </c>
      <c r="I11">
        <v>160</v>
      </c>
      <c r="J11">
        <v>11</v>
      </c>
      <c r="K11" t="s">
        <v>32</v>
      </c>
      <c r="L11" t="s">
        <v>33</v>
      </c>
      <c r="M11" t="s">
        <v>31</v>
      </c>
      <c r="N11">
        <v>68276000</v>
      </c>
      <c r="O11">
        <v>2</v>
      </c>
      <c r="P11" t="s">
        <v>34</v>
      </c>
      <c r="Q11">
        <v>0</v>
      </c>
      <c r="R11">
        <v>0</v>
      </c>
      <c r="S11">
        <v>0</v>
      </c>
      <c r="T11">
        <v>7</v>
      </c>
      <c r="U11">
        <v>1023</v>
      </c>
      <c r="V11">
        <v>-73.086333615334198</v>
      </c>
      <c r="W11">
        <v>7.0756792977983203</v>
      </c>
      <c r="X11">
        <v>3</v>
      </c>
    </row>
    <row r="12" spans="1:31">
      <c r="A12">
        <v>1143662</v>
      </c>
      <c r="B12" t="s">
        <v>35</v>
      </c>
      <c r="C12">
        <v>2</v>
      </c>
      <c r="D12">
        <v>2</v>
      </c>
      <c r="E12">
        <v>0</v>
      </c>
      <c r="F12">
        <v>101</v>
      </c>
      <c r="G12">
        <v>2</v>
      </c>
      <c r="H12">
        <v>62371</v>
      </c>
      <c r="I12">
        <v>160</v>
      </c>
      <c r="J12">
        <v>11</v>
      </c>
      <c r="K12" t="s">
        <v>36</v>
      </c>
      <c r="L12" t="s">
        <v>37</v>
      </c>
      <c r="M12" t="s">
        <v>35</v>
      </c>
      <c r="N12">
        <v>68001000</v>
      </c>
      <c r="O12">
        <v>2</v>
      </c>
      <c r="P12" t="s">
        <v>38</v>
      </c>
      <c r="Q12">
        <v>0</v>
      </c>
      <c r="R12">
        <v>0</v>
      </c>
      <c r="S12">
        <v>0</v>
      </c>
      <c r="T12">
        <v>7</v>
      </c>
      <c r="U12">
        <v>677</v>
      </c>
      <c r="V12">
        <v>-73.169862991608596</v>
      </c>
      <c r="W12">
        <v>7.0993903725526097</v>
      </c>
      <c r="X12">
        <v>3</v>
      </c>
    </row>
    <row r="13" spans="1:31">
      <c r="A13">
        <v>96774</v>
      </c>
      <c r="B13" t="s">
        <v>39</v>
      </c>
      <c r="C13">
        <v>2</v>
      </c>
      <c r="D13">
        <v>1</v>
      </c>
      <c r="E13">
        <v>2</v>
      </c>
      <c r="F13">
        <v>100</v>
      </c>
      <c r="G13">
        <v>1</v>
      </c>
      <c r="H13">
        <v>62371</v>
      </c>
      <c r="I13">
        <v>160</v>
      </c>
      <c r="J13">
        <v>31</v>
      </c>
      <c r="K13" t="s">
        <v>40</v>
      </c>
      <c r="L13" t="s">
        <v>41</v>
      </c>
      <c r="M13" t="s">
        <v>39</v>
      </c>
      <c r="N13">
        <v>68547000</v>
      </c>
      <c r="O13">
        <v>1</v>
      </c>
      <c r="P13" t="s">
        <v>42</v>
      </c>
      <c r="Q13">
        <v>9</v>
      </c>
      <c r="R13">
        <v>0</v>
      </c>
      <c r="S13">
        <v>0</v>
      </c>
      <c r="T13">
        <v>7</v>
      </c>
      <c r="U13">
        <v>931</v>
      </c>
      <c r="V13">
        <v>-73.070141614207003</v>
      </c>
      <c r="W13">
        <v>6.9839129573392196</v>
      </c>
      <c r="X13">
        <v>3</v>
      </c>
    </row>
    <row r="14" spans="1:31">
      <c r="A14">
        <v>95608</v>
      </c>
      <c r="B14" t="s">
        <v>43</v>
      </c>
      <c r="C14">
        <v>2</v>
      </c>
      <c r="D14">
        <v>1</v>
      </c>
      <c r="E14">
        <v>2</v>
      </c>
      <c r="F14">
        <v>0</v>
      </c>
      <c r="G14">
        <v>1</v>
      </c>
      <c r="H14">
        <v>62371</v>
      </c>
      <c r="I14">
        <v>160</v>
      </c>
      <c r="J14">
        <v>31</v>
      </c>
      <c r="K14" t="s">
        <v>44</v>
      </c>
      <c r="L14" t="s">
        <v>45</v>
      </c>
      <c r="M14" t="s">
        <v>43</v>
      </c>
      <c r="N14">
        <v>68406000</v>
      </c>
      <c r="O14">
        <v>1</v>
      </c>
      <c r="P14" t="s">
        <v>46</v>
      </c>
      <c r="Q14">
        <v>9</v>
      </c>
      <c r="R14">
        <v>0</v>
      </c>
      <c r="S14">
        <v>0</v>
      </c>
      <c r="T14">
        <v>7</v>
      </c>
      <c r="U14">
        <v>999</v>
      </c>
      <c r="V14">
        <v>-73.206983955032101</v>
      </c>
      <c r="W14">
        <v>7.1435517337127896</v>
      </c>
      <c r="X14">
        <v>3</v>
      </c>
    </row>
    <row r="15" spans="1:31">
      <c r="A15">
        <v>1221646</v>
      </c>
      <c r="B15" t="s">
        <v>47</v>
      </c>
      <c r="C15">
        <v>2</v>
      </c>
      <c r="D15">
        <v>1</v>
      </c>
      <c r="E15">
        <v>3</v>
      </c>
      <c r="F15">
        <v>0</v>
      </c>
      <c r="G15">
        <v>2</v>
      </c>
      <c r="H15">
        <v>62371</v>
      </c>
      <c r="I15">
        <v>160</v>
      </c>
      <c r="J15">
        <v>13</v>
      </c>
      <c r="K15" t="s">
        <v>48</v>
      </c>
      <c r="L15" t="s">
        <v>49</v>
      </c>
      <c r="M15" t="s">
        <v>47</v>
      </c>
      <c r="N15">
        <v>68081000</v>
      </c>
      <c r="O15">
        <v>2</v>
      </c>
      <c r="P15" t="s">
        <v>50</v>
      </c>
      <c r="Q15">
        <v>0</v>
      </c>
      <c r="R15">
        <v>0</v>
      </c>
      <c r="S15">
        <v>0</v>
      </c>
      <c r="T15">
        <v>8</v>
      </c>
      <c r="U15">
        <v>82</v>
      </c>
      <c r="V15">
        <v>-73.858221127918497</v>
      </c>
      <c r="W15">
        <v>7.0672364363755298</v>
      </c>
      <c r="X15">
        <v>3</v>
      </c>
    </row>
    <row r="16" spans="1:31">
      <c r="A16">
        <v>1221645</v>
      </c>
      <c r="B16" t="s">
        <v>47</v>
      </c>
      <c r="C16">
        <v>2</v>
      </c>
      <c r="D16">
        <v>1</v>
      </c>
      <c r="E16">
        <v>3</v>
      </c>
      <c r="F16">
        <v>0</v>
      </c>
      <c r="G16">
        <v>2</v>
      </c>
      <c r="H16">
        <v>62371</v>
      </c>
      <c r="I16">
        <v>160</v>
      </c>
      <c r="J16">
        <v>13</v>
      </c>
      <c r="K16" t="s">
        <v>51</v>
      </c>
      <c r="L16" t="s">
        <v>49</v>
      </c>
      <c r="M16" t="s">
        <v>47</v>
      </c>
      <c r="N16">
        <v>68081000</v>
      </c>
      <c r="O16">
        <v>2</v>
      </c>
      <c r="P16" t="s">
        <v>52</v>
      </c>
      <c r="Q16">
        <v>0</v>
      </c>
      <c r="R16">
        <v>0</v>
      </c>
      <c r="S16">
        <v>0</v>
      </c>
      <c r="T16">
        <v>8</v>
      </c>
      <c r="U16">
        <v>82</v>
      </c>
      <c r="V16">
        <v>-73.858221127918497</v>
      </c>
      <c r="W16">
        <v>7.0672364363755298</v>
      </c>
      <c r="X16">
        <v>3</v>
      </c>
    </row>
    <row r="17" spans="1:24">
      <c r="A17">
        <v>1153018</v>
      </c>
      <c r="B17" t="s">
        <v>53</v>
      </c>
      <c r="C17">
        <v>2</v>
      </c>
      <c r="D17">
        <v>1</v>
      </c>
      <c r="E17">
        <v>2</v>
      </c>
      <c r="F17">
        <v>0</v>
      </c>
      <c r="G17">
        <v>2</v>
      </c>
      <c r="H17">
        <v>62371</v>
      </c>
      <c r="I17">
        <v>160</v>
      </c>
      <c r="J17">
        <v>32</v>
      </c>
      <c r="K17" t="s">
        <v>54</v>
      </c>
      <c r="L17" t="s">
        <v>55</v>
      </c>
      <c r="M17" t="s">
        <v>53</v>
      </c>
      <c r="N17">
        <v>68689000</v>
      </c>
      <c r="O17">
        <v>1</v>
      </c>
      <c r="P17" t="s">
        <v>56</v>
      </c>
      <c r="Q17">
        <v>9</v>
      </c>
      <c r="R17">
        <v>0</v>
      </c>
      <c r="S17">
        <v>0</v>
      </c>
      <c r="T17">
        <v>7</v>
      </c>
      <c r="U17">
        <v>150</v>
      </c>
      <c r="V17">
        <v>-73.554108862135905</v>
      </c>
      <c r="W17">
        <v>7.0054340199493401</v>
      </c>
      <c r="X17">
        <v>3</v>
      </c>
    </row>
    <row r="18" spans="1:24">
      <c r="A18">
        <v>1325915</v>
      </c>
      <c r="B18" t="s">
        <v>57</v>
      </c>
      <c r="C18">
        <v>2</v>
      </c>
      <c r="D18">
        <v>1</v>
      </c>
      <c r="E18">
        <v>2</v>
      </c>
      <c r="F18">
        <v>100</v>
      </c>
      <c r="G18">
        <v>2</v>
      </c>
      <c r="H18">
        <v>62371</v>
      </c>
      <c r="I18">
        <v>160</v>
      </c>
      <c r="J18">
        <v>11</v>
      </c>
      <c r="K18" t="s">
        <v>58</v>
      </c>
      <c r="L18" t="s">
        <v>59</v>
      </c>
      <c r="M18" t="s">
        <v>57</v>
      </c>
      <c r="N18">
        <v>68547000</v>
      </c>
      <c r="O18">
        <v>2</v>
      </c>
      <c r="P18" t="s">
        <v>60</v>
      </c>
      <c r="Q18">
        <v>0</v>
      </c>
      <c r="R18">
        <v>0</v>
      </c>
      <c r="S18">
        <v>0</v>
      </c>
      <c r="T18">
        <v>8</v>
      </c>
      <c r="U18">
        <v>1005</v>
      </c>
      <c r="V18">
        <v>-73.050772789223501</v>
      </c>
      <c r="W18">
        <v>6.9850489553443804</v>
      </c>
      <c r="X18">
        <v>3</v>
      </c>
    </row>
    <row r="19" spans="1:24">
      <c r="A19">
        <v>508071</v>
      </c>
      <c r="B19" t="s">
        <v>61</v>
      </c>
      <c r="C19">
        <v>2</v>
      </c>
      <c r="D19">
        <v>1</v>
      </c>
      <c r="E19">
        <v>2</v>
      </c>
      <c r="F19">
        <v>0</v>
      </c>
      <c r="G19">
        <v>1</v>
      </c>
      <c r="H19">
        <v>62371</v>
      </c>
      <c r="I19">
        <v>160</v>
      </c>
      <c r="J19">
        <v>31</v>
      </c>
      <c r="K19" t="s">
        <v>62</v>
      </c>
      <c r="L19" t="s">
        <v>63</v>
      </c>
      <c r="M19" t="s">
        <v>61</v>
      </c>
      <c r="N19">
        <v>68406000</v>
      </c>
      <c r="O19">
        <v>1</v>
      </c>
      <c r="P19" t="s">
        <v>64</v>
      </c>
      <c r="Q19">
        <v>0</v>
      </c>
      <c r="R19">
        <v>0</v>
      </c>
      <c r="S19">
        <v>0</v>
      </c>
      <c r="T19">
        <v>7</v>
      </c>
      <c r="U19">
        <v>1111</v>
      </c>
      <c r="V19">
        <v>-73.2393612102247</v>
      </c>
      <c r="W19">
        <v>7.0931913511110896</v>
      </c>
      <c r="X19">
        <v>3</v>
      </c>
    </row>
    <row r="20" spans="1:24">
      <c r="A20">
        <v>379675</v>
      </c>
      <c r="B20" t="s">
        <v>65</v>
      </c>
      <c r="C20">
        <v>2</v>
      </c>
      <c r="D20">
        <v>1</v>
      </c>
      <c r="E20">
        <v>2</v>
      </c>
      <c r="F20">
        <v>100</v>
      </c>
      <c r="G20">
        <v>2</v>
      </c>
      <c r="H20">
        <v>62371</v>
      </c>
      <c r="I20">
        <v>160</v>
      </c>
      <c r="J20">
        <v>21</v>
      </c>
      <c r="K20" t="s">
        <v>66</v>
      </c>
      <c r="L20" t="s">
        <v>67</v>
      </c>
      <c r="M20" t="s">
        <v>65</v>
      </c>
      <c r="N20">
        <v>68432000</v>
      </c>
      <c r="O20">
        <v>2</v>
      </c>
      <c r="P20" t="s">
        <v>68</v>
      </c>
      <c r="Q20">
        <v>0</v>
      </c>
      <c r="R20">
        <v>0</v>
      </c>
      <c r="S20">
        <v>0</v>
      </c>
      <c r="T20">
        <v>8</v>
      </c>
      <c r="U20">
        <v>2211</v>
      </c>
      <c r="V20">
        <v>-72.732494758601703</v>
      </c>
      <c r="W20">
        <v>6.6990911696583497</v>
      </c>
      <c r="X20">
        <v>3</v>
      </c>
    </row>
    <row r="21" spans="1:24">
      <c r="A21">
        <v>327716</v>
      </c>
      <c r="B21" t="s">
        <v>69</v>
      </c>
      <c r="C21">
        <v>2</v>
      </c>
      <c r="D21">
        <v>1</v>
      </c>
      <c r="E21">
        <v>2</v>
      </c>
      <c r="F21">
        <v>100</v>
      </c>
      <c r="G21">
        <v>2</v>
      </c>
      <c r="H21">
        <v>62371</v>
      </c>
      <c r="I21">
        <v>160</v>
      </c>
      <c r="J21">
        <v>11</v>
      </c>
      <c r="K21" t="s">
        <v>70</v>
      </c>
      <c r="L21" t="s">
        <v>71</v>
      </c>
      <c r="M21" t="s">
        <v>69</v>
      </c>
      <c r="N21">
        <v>68276000</v>
      </c>
      <c r="O21">
        <v>2</v>
      </c>
      <c r="P21" t="s">
        <v>72</v>
      </c>
      <c r="Q21">
        <v>0</v>
      </c>
      <c r="R21">
        <v>0</v>
      </c>
      <c r="S21">
        <v>0</v>
      </c>
      <c r="T21">
        <v>8</v>
      </c>
      <c r="U21">
        <v>846</v>
      </c>
      <c r="V21">
        <v>-73.107028866543104</v>
      </c>
      <c r="W21">
        <v>7.0680183261198302</v>
      </c>
      <c r="X21">
        <v>3</v>
      </c>
    </row>
    <row r="22" spans="1:24">
      <c r="A22">
        <v>1033472</v>
      </c>
      <c r="B22" t="s">
        <v>73</v>
      </c>
      <c r="C22">
        <v>2</v>
      </c>
      <c r="D22">
        <v>1</v>
      </c>
      <c r="E22">
        <v>2</v>
      </c>
      <c r="F22">
        <v>100</v>
      </c>
      <c r="G22">
        <v>1</v>
      </c>
      <c r="H22">
        <v>62371</v>
      </c>
      <c r="I22">
        <v>160</v>
      </c>
      <c r="J22">
        <v>32</v>
      </c>
      <c r="K22" t="s">
        <v>74</v>
      </c>
      <c r="L22" t="s">
        <v>75</v>
      </c>
      <c r="M22" t="s">
        <v>73</v>
      </c>
      <c r="N22">
        <v>68679000</v>
      </c>
      <c r="O22">
        <v>1</v>
      </c>
      <c r="P22" t="s">
        <v>76</v>
      </c>
      <c r="Q22">
        <v>0</v>
      </c>
      <c r="R22">
        <v>0</v>
      </c>
      <c r="S22">
        <v>0</v>
      </c>
      <c r="T22">
        <v>8</v>
      </c>
      <c r="U22">
        <v>1545</v>
      </c>
      <c r="V22">
        <v>-73.093212172123998</v>
      </c>
      <c r="W22">
        <v>6.5613505169008999</v>
      </c>
      <c r="X22">
        <v>3</v>
      </c>
    </row>
    <row r="23" spans="1:24">
      <c r="A23">
        <v>1152620</v>
      </c>
      <c r="B23" t="s">
        <v>77</v>
      </c>
      <c r="C23">
        <v>2</v>
      </c>
      <c r="D23">
        <v>1</v>
      </c>
      <c r="E23">
        <v>2</v>
      </c>
      <c r="F23">
        <v>0</v>
      </c>
      <c r="G23">
        <v>2</v>
      </c>
      <c r="H23">
        <v>62371</v>
      </c>
      <c r="I23">
        <v>160</v>
      </c>
      <c r="J23">
        <v>13</v>
      </c>
      <c r="K23" t="s">
        <v>78</v>
      </c>
      <c r="L23" t="s">
        <v>79</v>
      </c>
      <c r="M23" t="s">
        <v>77</v>
      </c>
      <c r="N23">
        <v>68081000</v>
      </c>
      <c r="O23">
        <v>2</v>
      </c>
      <c r="P23" t="s">
        <v>80</v>
      </c>
      <c r="Q23">
        <v>0</v>
      </c>
      <c r="R23">
        <v>0</v>
      </c>
      <c r="S23">
        <v>0</v>
      </c>
      <c r="T23">
        <v>8</v>
      </c>
      <c r="U23">
        <v>83</v>
      </c>
      <c r="V23">
        <v>-73.866798571176503</v>
      </c>
      <c r="W23">
        <v>7.0587988356598297</v>
      </c>
      <c r="X23">
        <v>3</v>
      </c>
    </row>
    <row r="24" spans="1:24">
      <c r="A24">
        <v>465742</v>
      </c>
      <c r="B24" t="s">
        <v>81</v>
      </c>
      <c r="C24">
        <v>2</v>
      </c>
      <c r="D24">
        <v>1</v>
      </c>
      <c r="E24">
        <v>2</v>
      </c>
      <c r="F24">
        <v>100</v>
      </c>
      <c r="G24">
        <v>2</v>
      </c>
      <c r="H24">
        <v>62371</v>
      </c>
      <c r="I24">
        <v>160</v>
      </c>
      <c r="J24">
        <v>22</v>
      </c>
      <c r="K24" t="s">
        <v>82</v>
      </c>
      <c r="L24" t="s">
        <v>83</v>
      </c>
      <c r="M24" t="s">
        <v>81</v>
      </c>
      <c r="N24">
        <v>68077000</v>
      </c>
      <c r="O24">
        <v>2</v>
      </c>
      <c r="P24" t="s">
        <v>84</v>
      </c>
      <c r="Q24">
        <v>0</v>
      </c>
      <c r="R24">
        <v>0</v>
      </c>
      <c r="S24">
        <v>0</v>
      </c>
      <c r="T24">
        <v>8</v>
      </c>
      <c r="U24">
        <v>1579</v>
      </c>
      <c r="V24">
        <v>-73.618089658771197</v>
      </c>
      <c r="W24">
        <v>5.9303326334227098</v>
      </c>
      <c r="X24">
        <v>3</v>
      </c>
    </row>
    <row r="25" spans="1:24">
      <c r="A25">
        <v>80612</v>
      </c>
      <c r="B25" t="s">
        <v>85</v>
      </c>
      <c r="C25">
        <v>2</v>
      </c>
      <c r="D25">
        <v>1</v>
      </c>
      <c r="E25">
        <v>2</v>
      </c>
      <c r="F25">
        <v>100</v>
      </c>
      <c r="G25">
        <v>1</v>
      </c>
      <c r="H25">
        <v>62371</v>
      </c>
      <c r="I25">
        <v>160</v>
      </c>
      <c r="J25">
        <v>31</v>
      </c>
      <c r="K25" t="s">
        <v>86</v>
      </c>
      <c r="L25" t="s">
        <v>87</v>
      </c>
      <c r="M25" t="s">
        <v>85</v>
      </c>
      <c r="N25">
        <v>68615000</v>
      </c>
      <c r="O25">
        <v>1</v>
      </c>
      <c r="P25" t="s">
        <v>88</v>
      </c>
      <c r="Q25">
        <v>9</v>
      </c>
      <c r="R25">
        <v>0</v>
      </c>
      <c r="S25">
        <v>0</v>
      </c>
      <c r="T25">
        <v>7</v>
      </c>
      <c r="U25">
        <v>843</v>
      </c>
      <c r="V25">
        <v>-73.195260023365904</v>
      </c>
      <c r="W25">
        <v>7.26414204498285</v>
      </c>
      <c r="X25">
        <v>3</v>
      </c>
    </row>
    <row r="26" spans="1:24">
      <c r="A26">
        <v>1332182</v>
      </c>
      <c r="B26" t="s">
        <v>89</v>
      </c>
      <c r="C26">
        <v>2</v>
      </c>
      <c r="D26">
        <v>1</v>
      </c>
      <c r="E26">
        <v>2</v>
      </c>
      <c r="F26">
        <v>100</v>
      </c>
      <c r="G26">
        <v>2</v>
      </c>
      <c r="H26">
        <v>62371</v>
      </c>
      <c r="I26">
        <v>160</v>
      </c>
      <c r="J26">
        <v>11</v>
      </c>
      <c r="K26" t="s">
        <v>90</v>
      </c>
      <c r="L26" t="s">
        <v>91</v>
      </c>
      <c r="M26" t="s">
        <v>89</v>
      </c>
      <c r="N26">
        <v>68001000</v>
      </c>
      <c r="O26">
        <v>2</v>
      </c>
      <c r="P26" t="s">
        <v>92</v>
      </c>
      <c r="Q26">
        <v>0</v>
      </c>
      <c r="R26">
        <v>0</v>
      </c>
      <c r="S26">
        <v>0</v>
      </c>
      <c r="T26">
        <v>7</v>
      </c>
      <c r="U26">
        <v>955</v>
      </c>
      <c r="V26">
        <v>-73.126797438992298</v>
      </c>
      <c r="W26">
        <v>7.1185727299737698</v>
      </c>
      <c r="X26">
        <v>3</v>
      </c>
    </row>
    <row r="27" spans="1:24">
      <c r="A27">
        <v>333306</v>
      </c>
      <c r="B27" t="s">
        <v>93</v>
      </c>
      <c r="C27">
        <v>2</v>
      </c>
      <c r="D27">
        <v>1</v>
      </c>
      <c r="E27">
        <v>2</v>
      </c>
      <c r="F27">
        <v>100</v>
      </c>
      <c r="G27">
        <v>2</v>
      </c>
      <c r="H27">
        <v>62371</v>
      </c>
      <c r="I27">
        <v>160</v>
      </c>
      <c r="J27">
        <v>11</v>
      </c>
      <c r="K27" t="s">
        <v>94</v>
      </c>
      <c r="L27" t="s">
        <v>95</v>
      </c>
      <c r="M27" t="s">
        <v>93</v>
      </c>
      <c r="N27">
        <v>68276000</v>
      </c>
      <c r="O27">
        <v>2</v>
      </c>
      <c r="P27" t="s">
        <v>96</v>
      </c>
      <c r="Q27">
        <v>0</v>
      </c>
      <c r="R27">
        <v>0</v>
      </c>
      <c r="S27">
        <v>0</v>
      </c>
      <c r="T27">
        <v>8</v>
      </c>
      <c r="U27">
        <v>852</v>
      </c>
      <c r="V27">
        <v>-73.104072846151794</v>
      </c>
      <c r="W27">
        <v>7.0725555669206299</v>
      </c>
      <c r="X27">
        <v>3</v>
      </c>
    </row>
    <row r="28" spans="1:24">
      <c r="A28">
        <v>92974</v>
      </c>
      <c r="B28" t="s">
        <v>97</v>
      </c>
      <c r="C28">
        <v>2</v>
      </c>
      <c r="D28">
        <v>1</v>
      </c>
      <c r="E28">
        <v>2</v>
      </c>
      <c r="F28">
        <v>100</v>
      </c>
      <c r="G28">
        <v>2</v>
      </c>
      <c r="H28">
        <v>62371</v>
      </c>
      <c r="I28">
        <v>160</v>
      </c>
      <c r="J28">
        <v>31</v>
      </c>
      <c r="K28" t="s">
        <v>98</v>
      </c>
      <c r="L28" t="s">
        <v>99</v>
      </c>
      <c r="M28" t="s">
        <v>97</v>
      </c>
      <c r="N28">
        <v>68547000</v>
      </c>
      <c r="O28">
        <v>1</v>
      </c>
      <c r="P28" t="s">
        <v>100</v>
      </c>
      <c r="Q28">
        <v>9</v>
      </c>
      <c r="R28">
        <v>0</v>
      </c>
      <c r="S28">
        <v>0</v>
      </c>
      <c r="T28">
        <v>7</v>
      </c>
      <c r="U28">
        <v>1624</v>
      </c>
      <c r="V28">
        <v>-73.050706821833401</v>
      </c>
      <c r="W28">
        <v>6.8731312671934104</v>
      </c>
      <c r="X28">
        <v>3</v>
      </c>
    </row>
    <row r="29" spans="1:24">
      <c r="A29">
        <v>1370811</v>
      </c>
      <c r="B29" t="s">
        <v>101</v>
      </c>
      <c r="C29">
        <v>2</v>
      </c>
      <c r="D29">
        <v>1</v>
      </c>
      <c r="E29">
        <v>2</v>
      </c>
      <c r="F29">
        <v>0</v>
      </c>
      <c r="G29">
        <v>2</v>
      </c>
      <c r="H29">
        <v>62371</v>
      </c>
      <c r="I29">
        <v>160</v>
      </c>
      <c r="J29">
        <v>31</v>
      </c>
      <c r="K29" t="s">
        <v>102</v>
      </c>
      <c r="L29" t="s">
        <v>103</v>
      </c>
      <c r="M29" t="s">
        <v>101</v>
      </c>
      <c r="N29">
        <v>68307000</v>
      </c>
      <c r="O29">
        <v>1</v>
      </c>
      <c r="P29" t="s">
        <v>104</v>
      </c>
      <c r="Q29">
        <v>0</v>
      </c>
      <c r="R29">
        <v>0</v>
      </c>
      <c r="S29">
        <v>0</v>
      </c>
      <c r="T29">
        <v>8</v>
      </c>
      <c r="U29">
        <v>758</v>
      </c>
      <c r="V29">
        <v>-73.125230936199401</v>
      </c>
      <c r="W29">
        <v>7.0663674193959602</v>
      </c>
      <c r="X29">
        <v>3</v>
      </c>
    </row>
    <row r="30" spans="1:24">
      <c r="A30">
        <v>1505</v>
      </c>
      <c r="B30" t="s">
        <v>105</v>
      </c>
      <c r="C30">
        <v>2</v>
      </c>
      <c r="D30">
        <v>1</v>
      </c>
      <c r="E30">
        <v>2</v>
      </c>
      <c r="F30">
        <v>100</v>
      </c>
      <c r="G30">
        <v>1</v>
      </c>
      <c r="H30">
        <v>62371</v>
      </c>
      <c r="I30">
        <v>160</v>
      </c>
      <c r="J30">
        <v>11</v>
      </c>
      <c r="K30" t="s">
        <v>106</v>
      </c>
      <c r="L30" t="s">
        <v>107</v>
      </c>
      <c r="M30" t="s">
        <v>105</v>
      </c>
      <c r="N30">
        <v>68001000</v>
      </c>
      <c r="O30">
        <v>2</v>
      </c>
      <c r="P30" t="s">
        <v>108</v>
      </c>
      <c r="Q30">
        <v>0</v>
      </c>
      <c r="R30">
        <v>0</v>
      </c>
      <c r="S30">
        <v>0</v>
      </c>
      <c r="T30">
        <v>8</v>
      </c>
      <c r="U30">
        <v>745</v>
      </c>
      <c r="V30">
        <v>-73.135170724062107</v>
      </c>
      <c r="W30">
        <v>7.15325968559653</v>
      </c>
      <c r="X30">
        <v>3</v>
      </c>
    </row>
    <row r="31" spans="1:24">
      <c r="A31">
        <v>523279</v>
      </c>
      <c r="B31" t="s">
        <v>109</v>
      </c>
      <c r="C31">
        <v>2</v>
      </c>
      <c r="D31">
        <v>1</v>
      </c>
      <c r="E31">
        <v>2</v>
      </c>
      <c r="F31">
        <v>100</v>
      </c>
      <c r="G31">
        <v>1</v>
      </c>
      <c r="H31">
        <v>62371</v>
      </c>
      <c r="I31">
        <v>160</v>
      </c>
      <c r="J31">
        <v>11</v>
      </c>
      <c r="K31" t="s">
        <v>110</v>
      </c>
      <c r="L31" t="s">
        <v>111</v>
      </c>
      <c r="M31" t="s">
        <v>109</v>
      </c>
      <c r="N31">
        <v>68001000</v>
      </c>
      <c r="O31">
        <v>2</v>
      </c>
      <c r="P31" t="s">
        <v>112</v>
      </c>
      <c r="Q31">
        <v>0</v>
      </c>
      <c r="R31">
        <v>0</v>
      </c>
      <c r="S31">
        <v>0</v>
      </c>
      <c r="T31">
        <v>8</v>
      </c>
      <c r="U31">
        <v>1023</v>
      </c>
      <c r="V31">
        <v>-73.111982192240205</v>
      </c>
      <c r="W31">
        <v>7.12693000913755</v>
      </c>
      <c r="X31">
        <v>3</v>
      </c>
    </row>
    <row r="32" spans="1:24">
      <c r="A32">
        <v>1415143</v>
      </c>
      <c r="B32" t="s">
        <v>113</v>
      </c>
      <c r="C32">
        <v>2</v>
      </c>
      <c r="D32">
        <v>1</v>
      </c>
      <c r="E32">
        <v>2</v>
      </c>
      <c r="F32">
        <v>0</v>
      </c>
      <c r="G32">
        <v>2</v>
      </c>
      <c r="H32">
        <v>62371</v>
      </c>
      <c r="I32">
        <v>160</v>
      </c>
      <c r="J32">
        <v>11</v>
      </c>
      <c r="K32" t="s">
        <v>114</v>
      </c>
      <c r="L32" t="s">
        <v>115</v>
      </c>
      <c r="M32" t="s">
        <v>113</v>
      </c>
      <c r="N32">
        <v>68307000</v>
      </c>
      <c r="O32">
        <v>2</v>
      </c>
      <c r="P32" t="s">
        <v>116</v>
      </c>
      <c r="Q32">
        <v>0</v>
      </c>
      <c r="R32">
        <v>0</v>
      </c>
      <c r="S32">
        <v>0</v>
      </c>
      <c r="T32">
        <v>7</v>
      </c>
      <c r="U32">
        <v>677</v>
      </c>
      <c r="V32">
        <v>-73.170756023940996</v>
      </c>
      <c r="W32">
        <v>7.0888652066788902</v>
      </c>
      <c r="X32">
        <v>3</v>
      </c>
    </row>
    <row r="33" spans="1:30">
      <c r="A33">
        <v>446500</v>
      </c>
      <c r="B33" t="s">
        <v>117</v>
      </c>
      <c r="C33">
        <v>2</v>
      </c>
      <c r="D33">
        <v>1</v>
      </c>
      <c r="E33">
        <v>2</v>
      </c>
      <c r="F33">
        <v>100</v>
      </c>
      <c r="G33">
        <v>1</v>
      </c>
      <c r="H33">
        <v>62371</v>
      </c>
      <c r="I33">
        <v>160</v>
      </c>
      <c r="J33">
        <v>22</v>
      </c>
      <c r="K33" t="s">
        <v>118</v>
      </c>
      <c r="L33" t="s">
        <v>119</v>
      </c>
      <c r="M33" t="s">
        <v>117</v>
      </c>
      <c r="N33">
        <v>68679000</v>
      </c>
      <c r="O33">
        <v>2</v>
      </c>
      <c r="P33" t="s">
        <v>120</v>
      </c>
      <c r="Q33">
        <v>0</v>
      </c>
      <c r="R33">
        <v>0</v>
      </c>
      <c r="S33">
        <v>0</v>
      </c>
      <c r="T33">
        <v>8</v>
      </c>
      <c r="U33">
        <v>1118</v>
      </c>
      <c r="V33">
        <v>-73.134360670395495</v>
      </c>
      <c r="W33">
        <v>6.5543764810568304</v>
      </c>
      <c r="X33">
        <v>3</v>
      </c>
    </row>
    <row r="34" spans="1:30">
      <c r="A34">
        <v>1189660</v>
      </c>
      <c r="B34" t="s">
        <v>121</v>
      </c>
      <c r="C34">
        <v>2</v>
      </c>
      <c r="D34">
        <v>1</v>
      </c>
      <c r="E34">
        <v>2</v>
      </c>
      <c r="F34">
        <v>0</v>
      </c>
      <c r="G34">
        <v>2</v>
      </c>
      <c r="H34">
        <v>62371</v>
      </c>
      <c r="I34">
        <v>160</v>
      </c>
      <c r="J34">
        <v>33</v>
      </c>
      <c r="K34" t="s">
        <v>122</v>
      </c>
      <c r="L34" t="s">
        <v>123</v>
      </c>
      <c r="M34" t="s">
        <v>121</v>
      </c>
      <c r="N34">
        <v>68081000</v>
      </c>
      <c r="O34">
        <v>1</v>
      </c>
      <c r="P34" t="s">
        <v>124</v>
      </c>
      <c r="Q34">
        <v>9</v>
      </c>
      <c r="R34">
        <v>0</v>
      </c>
      <c r="S34">
        <v>0</v>
      </c>
      <c r="T34">
        <v>7</v>
      </c>
      <c r="U34">
        <v>94</v>
      </c>
      <c r="V34">
        <v>-73.6804427512443</v>
      </c>
      <c r="W34">
        <v>7.0959251638108798</v>
      </c>
      <c r="X34">
        <v>3</v>
      </c>
    </row>
    <row r="35" spans="1:30">
      <c r="A35">
        <v>1189659</v>
      </c>
      <c r="B35" t="s">
        <v>121</v>
      </c>
      <c r="C35">
        <v>2</v>
      </c>
      <c r="D35">
        <v>1</v>
      </c>
      <c r="E35">
        <v>2</v>
      </c>
      <c r="F35">
        <v>0</v>
      </c>
      <c r="G35">
        <v>2</v>
      </c>
      <c r="H35">
        <v>62371</v>
      </c>
      <c r="I35">
        <v>160</v>
      </c>
      <c r="J35">
        <v>33</v>
      </c>
      <c r="K35" t="s">
        <v>125</v>
      </c>
      <c r="L35" t="s">
        <v>123</v>
      </c>
      <c r="M35" t="s">
        <v>121</v>
      </c>
      <c r="N35">
        <v>68081000</v>
      </c>
      <c r="O35">
        <v>1</v>
      </c>
      <c r="P35" t="s">
        <v>126</v>
      </c>
      <c r="Q35">
        <v>0</v>
      </c>
      <c r="R35">
        <v>0</v>
      </c>
      <c r="S35">
        <v>0</v>
      </c>
      <c r="T35">
        <v>8</v>
      </c>
      <c r="U35">
        <v>94</v>
      </c>
      <c r="V35">
        <v>-73.680436157562298</v>
      </c>
      <c r="W35">
        <v>7.0959372813887898</v>
      </c>
      <c r="X35">
        <v>3</v>
      </c>
    </row>
    <row r="36" spans="1:30">
      <c r="A36">
        <v>1326323</v>
      </c>
      <c r="B36" t="s">
        <v>127</v>
      </c>
      <c r="C36">
        <v>2</v>
      </c>
      <c r="D36">
        <v>1</v>
      </c>
      <c r="E36">
        <v>2</v>
      </c>
      <c r="F36">
        <v>100</v>
      </c>
      <c r="G36">
        <v>1</v>
      </c>
      <c r="H36">
        <v>62371</v>
      </c>
      <c r="I36">
        <v>160</v>
      </c>
      <c r="J36">
        <v>11</v>
      </c>
      <c r="K36" t="s">
        <v>128</v>
      </c>
      <c r="L36" t="s">
        <v>71</v>
      </c>
      <c r="M36" t="s">
        <v>127</v>
      </c>
      <c r="N36">
        <v>68276000</v>
      </c>
      <c r="O36">
        <v>2</v>
      </c>
      <c r="P36" t="s">
        <v>129</v>
      </c>
      <c r="Q36">
        <v>0</v>
      </c>
      <c r="R36">
        <v>0</v>
      </c>
      <c r="S36">
        <v>0</v>
      </c>
      <c r="T36">
        <v>8</v>
      </c>
      <c r="U36">
        <v>847</v>
      </c>
      <c r="V36">
        <v>-73.105750076710393</v>
      </c>
      <c r="W36">
        <v>7.0697168625454596</v>
      </c>
      <c r="X36">
        <v>3</v>
      </c>
    </row>
    <row r="37" spans="1:30">
      <c r="A37">
        <v>246427</v>
      </c>
      <c r="B37" t="s">
        <v>130</v>
      </c>
      <c r="C37">
        <v>2</v>
      </c>
      <c r="D37">
        <v>1</v>
      </c>
      <c r="E37">
        <v>2</v>
      </c>
      <c r="F37">
        <v>100</v>
      </c>
      <c r="G37">
        <v>2</v>
      </c>
      <c r="H37">
        <v>62371</v>
      </c>
      <c r="I37">
        <v>160</v>
      </c>
      <c r="J37">
        <v>11</v>
      </c>
      <c r="K37" t="s">
        <v>131</v>
      </c>
      <c r="L37" t="s">
        <v>132</v>
      </c>
      <c r="M37" t="s">
        <v>130</v>
      </c>
      <c r="N37">
        <v>68001000</v>
      </c>
      <c r="O37">
        <v>2</v>
      </c>
      <c r="P37" t="s">
        <v>133</v>
      </c>
      <c r="Q37">
        <v>0</v>
      </c>
      <c r="R37">
        <v>0</v>
      </c>
      <c r="S37">
        <v>0</v>
      </c>
      <c r="T37">
        <v>8</v>
      </c>
      <c r="U37">
        <v>973</v>
      </c>
      <c r="V37">
        <v>-73.111374991463293</v>
      </c>
      <c r="W37">
        <v>7.1116924939823303</v>
      </c>
      <c r="X37">
        <v>1</v>
      </c>
      <c r="Y37">
        <v>1</v>
      </c>
      <c r="Z37">
        <v>20</v>
      </c>
      <c r="AA37">
        <v>1</v>
      </c>
      <c r="AB37" t="s">
        <v>134</v>
      </c>
      <c r="AC37">
        <v>44013</v>
      </c>
      <c r="AD37">
        <v>2</v>
      </c>
    </row>
    <row r="38" spans="1:30">
      <c r="A38">
        <v>1339830</v>
      </c>
      <c r="B38" t="s">
        <v>135</v>
      </c>
      <c r="C38">
        <v>2</v>
      </c>
      <c r="D38">
        <v>1</v>
      </c>
      <c r="E38">
        <v>2</v>
      </c>
      <c r="F38">
        <v>100</v>
      </c>
      <c r="G38">
        <v>1</v>
      </c>
      <c r="H38">
        <v>62371</v>
      </c>
      <c r="I38">
        <v>160</v>
      </c>
      <c r="J38">
        <v>22</v>
      </c>
      <c r="K38" t="s">
        <v>136</v>
      </c>
      <c r="L38" t="s">
        <v>137</v>
      </c>
      <c r="M38" t="s">
        <v>135</v>
      </c>
      <c r="N38">
        <v>20710000</v>
      </c>
      <c r="O38">
        <v>2</v>
      </c>
      <c r="P38" t="s">
        <v>138</v>
      </c>
      <c r="Q38">
        <v>0</v>
      </c>
      <c r="R38">
        <v>0</v>
      </c>
      <c r="S38">
        <v>0</v>
      </c>
      <c r="T38">
        <v>8</v>
      </c>
      <c r="U38">
        <v>119</v>
      </c>
      <c r="V38">
        <v>-73.391201895298195</v>
      </c>
      <c r="W38">
        <v>7.76038940490076</v>
      </c>
      <c r="X38">
        <v>3</v>
      </c>
    </row>
    <row r="39" spans="1:30">
      <c r="A39">
        <v>1379521</v>
      </c>
      <c r="B39" t="s">
        <v>139</v>
      </c>
      <c r="C39">
        <v>2</v>
      </c>
      <c r="D39">
        <v>1</v>
      </c>
      <c r="E39">
        <v>2</v>
      </c>
      <c r="F39">
        <v>100</v>
      </c>
      <c r="G39">
        <v>2</v>
      </c>
      <c r="H39">
        <v>62371</v>
      </c>
      <c r="I39">
        <v>160</v>
      </c>
      <c r="J39">
        <v>22</v>
      </c>
      <c r="K39" t="s">
        <v>140</v>
      </c>
      <c r="L39" t="s">
        <v>141</v>
      </c>
      <c r="M39" t="s">
        <v>139</v>
      </c>
      <c r="N39">
        <v>68679000</v>
      </c>
      <c r="O39">
        <v>2</v>
      </c>
      <c r="P39" t="s">
        <v>142</v>
      </c>
      <c r="Q39">
        <v>0</v>
      </c>
      <c r="R39">
        <v>0</v>
      </c>
      <c r="S39">
        <v>0</v>
      </c>
      <c r="T39">
        <v>3</v>
      </c>
      <c r="U39">
        <v>1157</v>
      </c>
      <c r="V39">
        <v>-73.122642637579702</v>
      </c>
      <c r="W39">
        <v>6.5437683391024599</v>
      </c>
      <c r="X39">
        <v>3</v>
      </c>
    </row>
    <row r="40" spans="1:30">
      <c r="A40">
        <v>463520</v>
      </c>
      <c r="B40" t="s">
        <v>143</v>
      </c>
      <c r="C40">
        <v>2</v>
      </c>
      <c r="D40">
        <v>1</v>
      </c>
      <c r="E40">
        <v>2</v>
      </c>
      <c r="F40">
        <v>100</v>
      </c>
      <c r="G40">
        <v>2</v>
      </c>
      <c r="H40">
        <v>62371</v>
      </c>
      <c r="I40">
        <v>160</v>
      </c>
      <c r="J40">
        <v>21</v>
      </c>
      <c r="K40" t="s">
        <v>144</v>
      </c>
      <c r="L40" t="s">
        <v>145</v>
      </c>
      <c r="M40" t="s">
        <v>143</v>
      </c>
      <c r="N40">
        <v>68079000</v>
      </c>
      <c r="O40">
        <v>2</v>
      </c>
      <c r="P40" t="s">
        <v>146</v>
      </c>
      <c r="Q40">
        <v>0</v>
      </c>
      <c r="R40">
        <v>0</v>
      </c>
      <c r="S40">
        <v>0</v>
      </c>
      <c r="T40">
        <v>8</v>
      </c>
      <c r="U40">
        <v>1278</v>
      </c>
      <c r="V40">
        <v>-73.222088585993305</v>
      </c>
      <c r="W40">
        <v>6.6353389586353098</v>
      </c>
      <c r="X40">
        <v>3</v>
      </c>
    </row>
    <row r="41" spans="1:30">
      <c r="A41">
        <v>1089797</v>
      </c>
      <c r="B41" t="s">
        <v>147</v>
      </c>
      <c r="C41">
        <v>2</v>
      </c>
      <c r="D41">
        <v>1</v>
      </c>
      <c r="E41">
        <v>2</v>
      </c>
      <c r="F41">
        <v>100</v>
      </c>
      <c r="G41">
        <v>2</v>
      </c>
      <c r="H41">
        <v>62371</v>
      </c>
      <c r="I41">
        <v>160</v>
      </c>
      <c r="J41">
        <v>31</v>
      </c>
      <c r="K41" t="s">
        <v>148</v>
      </c>
      <c r="L41" t="s">
        <v>149</v>
      </c>
      <c r="M41" t="s">
        <v>147</v>
      </c>
      <c r="N41">
        <v>68406000</v>
      </c>
      <c r="O41">
        <v>1</v>
      </c>
      <c r="P41" t="s">
        <v>150</v>
      </c>
      <c r="Q41">
        <v>9</v>
      </c>
      <c r="R41">
        <v>0</v>
      </c>
      <c r="S41">
        <v>0</v>
      </c>
      <c r="T41">
        <v>7</v>
      </c>
      <c r="U41">
        <v>1111</v>
      </c>
      <c r="V41">
        <v>-73.2252547982566</v>
      </c>
      <c r="W41">
        <v>7.0729591596669197</v>
      </c>
      <c r="X41">
        <v>3</v>
      </c>
    </row>
    <row r="42" spans="1:30">
      <c r="A42">
        <v>252361</v>
      </c>
      <c r="B42" t="s">
        <v>151</v>
      </c>
      <c r="C42">
        <v>2</v>
      </c>
      <c r="D42">
        <v>1</v>
      </c>
      <c r="E42">
        <v>2</v>
      </c>
      <c r="F42">
        <v>100</v>
      </c>
      <c r="G42">
        <v>1</v>
      </c>
      <c r="H42">
        <v>62371</v>
      </c>
      <c r="I42">
        <v>160</v>
      </c>
      <c r="J42">
        <v>11</v>
      </c>
      <c r="K42" t="s">
        <v>152</v>
      </c>
      <c r="L42" t="s">
        <v>153</v>
      </c>
      <c r="M42" t="s">
        <v>151</v>
      </c>
      <c r="N42">
        <v>68001000</v>
      </c>
      <c r="O42">
        <v>2</v>
      </c>
      <c r="P42" t="s">
        <v>154</v>
      </c>
      <c r="Q42">
        <v>0</v>
      </c>
      <c r="R42">
        <v>0</v>
      </c>
      <c r="S42">
        <v>0</v>
      </c>
      <c r="T42">
        <v>8</v>
      </c>
      <c r="U42">
        <v>1003</v>
      </c>
      <c r="V42">
        <v>-73.113374633997395</v>
      </c>
      <c r="W42">
        <v>7.1207647856721001</v>
      </c>
      <c r="X42">
        <v>3</v>
      </c>
    </row>
    <row r="43" spans="1:30">
      <c r="A43">
        <v>422537</v>
      </c>
      <c r="B43" t="s">
        <v>155</v>
      </c>
      <c r="C43">
        <v>2</v>
      </c>
      <c r="D43">
        <v>1</v>
      </c>
      <c r="E43">
        <v>2</v>
      </c>
      <c r="F43">
        <v>100</v>
      </c>
      <c r="G43">
        <v>2</v>
      </c>
      <c r="H43">
        <v>62371</v>
      </c>
      <c r="I43">
        <v>160</v>
      </c>
      <c r="J43">
        <v>13</v>
      </c>
      <c r="K43" t="s">
        <v>156</v>
      </c>
      <c r="L43" t="s">
        <v>157</v>
      </c>
      <c r="M43" t="s">
        <v>155</v>
      </c>
      <c r="N43">
        <v>68081000</v>
      </c>
      <c r="O43">
        <v>2</v>
      </c>
      <c r="P43" t="s">
        <v>158</v>
      </c>
      <c r="Q43">
        <v>0</v>
      </c>
      <c r="R43">
        <v>0</v>
      </c>
      <c r="S43">
        <v>0</v>
      </c>
      <c r="T43">
        <v>8</v>
      </c>
      <c r="U43">
        <v>84</v>
      </c>
      <c r="V43">
        <v>-73.8598124680247</v>
      </c>
      <c r="W43">
        <v>7.0594167965368904</v>
      </c>
      <c r="X43">
        <v>3</v>
      </c>
    </row>
    <row r="44" spans="1:30">
      <c r="A44">
        <v>1574494</v>
      </c>
      <c r="B44" t="s">
        <v>159</v>
      </c>
      <c r="C44">
        <v>2</v>
      </c>
      <c r="D44">
        <v>1</v>
      </c>
      <c r="E44">
        <v>3</v>
      </c>
      <c r="F44">
        <v>0</v>
      </c>
      <c r="G44">
        <v>2</v>
      </c>
      <c r="H44">
        <v>62371</v>
      </c>
      <c r="I44">
        <v>160</v>
      </c>
      <c r="J44">
        <v>11</v>
      </c>
      <c r="K44" t="s">
        <v>160</v>
      </c>
      <c r="L44" t="s">
        <v>161</v>
      </c>
      <c r="M44" t="s">
        <v>159</v>
      </c>
      <c r="N44">
        <v>68001000</v>
      </c>
      <c r="O44">
        <v>2</v>
      </c>
      <c r="P44" t="s">
        <v>162</v>
      </c>
      <c r="Q44">
        <v>0</v>
      </c>
      <c r="R44">
        <v>0</v>
      </c>
      <c r="S44">
        <v>0</v>
      </c>
      <c r="T44">
        <v>7</v>
      </c>
      <c r="U44">
        <v>958</v>
      </c>
      <c r="V44">
        <v>-73.107155763264899</v>
      </c>
      <c r="W44">
        <v>7.1001677113331603</v>
      </c>
      <c r="X44">
        <v>3</v>
      </c>
    </row>
    <row r="45" spans="1:30">
      <c r="A45">
        <v>1340155</v>
      </c>
      <c r="B45" t="s">
        <v>159</v>
      </c>
      <c r="C45">
        <v>2</v>
      </c>
      <c r="D45">
        <v>1</v>
      </c>
      <c r="E45">
        <v>3</v>
      </c>
      <c r="F45">
        <v>0</v>
      </c>
      <c r="G45">
        <v>2</v>
      </c>
      <c r="H45">
        <v>62371</v>
      </c>
      <c r="I45">
        <v>160</v>
      </c>
      <c r="J45">
        <v>11</v>
      </c>
      <c r="K45" t="s">
        <v>163</v>
      </c>
      <c r="L45" t="s">
        <v>161</v>
      </c>
      <c r="M45" t="s">
        <v>159</v>
      </c>
      <c r="N45">
        <v>68001000</v>
      </c>
      <c r="O45">
        <v>2</v>
      </c>
      <c r="P45" t="s">
        <v>164</v>
      </c>
      <c r="Q45">
        <v>0</v>
      </c>
      <c r="R45">
        <v>0</v>
      </c>
      <c r="S45">
        <v>0</v>
      </c>
      <c r="T45">
        <v>8</v>
      </c>
      <c r="U45">
        <v>958</v>
      </c>
      <c r="V45">
        <v>-73.1071431910119</v>
      </c>
      <c r="W45">
        <v>7.1003901634430804</v>
      </c>
      <c r="X45">
        <v>3</v>
      </c>
    </row>
    <row r="46" spans="1:30">
      <c r="A46">
        <v>1338821</v>
      </c>
      <c r="B46" t="s">
        <v>159</v>
      </c>
      <c r="C46">
        <v>2</v>
      </c>
      <c r="D46">
        <v>1</v>
      </c>
      <c r="E46">
        <v>3</v>
      </c>
      <c r="F46">
        <v>0</v>
      </c>
      <c r="G46">
        <v>2</v>
      </c>
      <c r="H46">
        <v>62371</v>
      </c>
      <c r="I46">
        <v>160</v>
      </c>
      <c r="J46">
        <v>11</v>
      </c>
      <c r="K46" t="s">
        <v>165</v>
      </c>
      <c r="L46" t="s">
        <v>161</v>
      </c>
      <c r="M46" t="s">
        <v>159</v>
      </c>
      <c r="N46">
        <v>68001000</v>
      </c>
      <c r="O46">
        <v>2</v>
      </c>
      <c r="P46" t="s">
        <v>166</v>
      </c>
      <c r="Q46">
        <v>0</v>
      </c>
      <c r="R46">
        <v>0</v>
      </c>
      <c r="S46">
        <v>0</v>
      </c>
      <c r="T46">
        <v>8</v>
      </c>
      <c r="U46">
        <v>958</v>
      </c>
      <c r="V46">
        <v>-73.107140663809005</v>
      </c>
      <c r="W46">
        <v>7.1002799102512899</v>
      </c>
      <c r="X46">
        <v>3</v>
      </c>
    </row>
    <row r="47" spans="1:30">
      <c r="A47">
        <v>1347489</v>
      </c>
      <c r="B47" t="s">
        <v>167</v>
      </c>
      <c r="C47">
        <v>2</v>
      </c>
      <c r="D47">
        <v>1</v>
      </c>
      <c r="E47">
        <v>3</v>
      </c>
      <c r="F47">
        <v>0</v>
      </c>
      <c r="G47">
        <v>2</v>
      </c>
      <c r="H47">
        <v>62371</v>
      </c>
      <c r="I47">
        <v>160</v>
      </c>
      <c r="J47">
        <v>11</v>
      </c>
      <c r="K47" t="s">
        <v>168</v>
      </c>
      <c r="L47" t="s">
        <v>161</v>
      </c>
      <c r="M47" t="s">
        <v>167</v>
      </c>
      <c r="N47">
        <v>68001000</v>
      </c>
      <c r="O47">
        <v>2</v>
      </c>
      <c r="P47" t="s">
        <v>169</v>
      </c>
      <c r="Q47">
        <v>0</v>
      </c>
      <c r="R47">
        <v>0</v>
      </c>
      <c r="S47">
        <v>0</v>
      </c>
      <c r="T47">
        <v>8</v>
      </c>
      <c r="U47">
        <v>958</v>
      </c>
      <c r="V47">
        <v>-73.107248151963205</v>
      </c>
      <c r="W47">
        <v>7.1002445367293099</v>
      </c>
      <c r="X47">
        <v>3</v>
      </c>
    </row>
    <row r="48" spans="1:30">
      <c r="A48">
        <v>347635</v>
      </c>
      <c r="B48" t="s">
        <v>170</v>
      </c>
      <c r="C48">
        <v>2</v>
      </c>
      <c r="D48">
        <v>1</v>
      </c>
      <c r="E48">
        <v>2</v>
      </c>
      <c r="F48">
        <v>100</v>
      </c>
      <c r="G48">
        <v>2</v>
      </c>
      <c r="H48">
        <v>62371</v>
      </c>
      <c r="I48">
        <v>160</v>
      </c>
      <c r="J48">
        <v>11</v>
      </c>
      <c r="K48" t="s">
        <v>171</v>
      </c>
      <c r="L48" t="s">
        <v>172</v>
      </c>
      <c r="M48" t="s">
        <v>170</v>
      </c>
      <c r="N48">
        <v>68276000</v>
      </c>
      <c r="O48">
        <v>2</v>
      </c>
      <c r="P48" t="s">
        <v>173</v>
      </c>
      <c r="Q48">
        <v>0</v>
      </c>
      <c r="R48">
        <v>0</v>
      </c>
      <c r="S48">
        <v>0</v>
      </c>
      <c r="T48">
        <v>8</v>
      </c>
      <c r="U48">
        <v>929</v>
      </c>
      <c r="V48">
        <v>-73.086301086668797</v>
      </c>
      <c r="W48">
        <v>7.0618985648176302</v>
      </c>
      <c r="X48">
        <v>3</v>
      </c>
    </row>
    <row r="49" spans="1:24">
      <c r="A49">
        <v>512699</v>
      </c>
      <c r="B49" t="s">
        <v>174</v>
      </c>
      <c r="C49">
        <v>2</v>
      </c>
      <c r="D49">
        <v>1</v>
      </c>
      <c r="E49">
        <v>2</v>
      </c>
      <c r="F49">
        <v>100</v>
      </c>
      <c r="G49">
        <v>1</v>
      </c>
      <c r="H49">
        <v>62371</v>
      </c>
      <c r="I49">
        <v>160</v>
      </c>
      <c r="J49">
        <v>31</v>
      </c>
      <c r="K49" t="s">
        <v>175</v>
      </c>
      <c r="L49" t="s">
        <v>176</v>
      </c>
      <c r="M49" t="s">
        <v>174</v>
      </c>
      <c r="N49">
        <v>68895000</v>
      </c>
      <c r="O49">
        <v>1</v>
      </c>
      <c r="P49" t="s">
        <v>177</v>
      </c>
      <c r="Q49">
        <v>0</v>
      </c>
      <c r="R49">
        <v>0</v>
      </c>
      <c r="S49">
        <v>0</v>
      </c>
      <c r="T49">
        <v>7</v>
      </c>
      <c r="U49">
        <v>1543</v>
      </c>
      <c r="V49">
        <v>-73.223412863699906</v>
      </c>
      <c r="W49">
        <v>6.8699129727789403</v>
      </c>
      <c r="X49">
        <v>3</v>
      </c>
    </row>
    <row r="50" spans="1:24">
      <c r="A50">
        <v>93586</v>
      </c>
      <c r="B50" t="s">
        <v>178</v>
      </c>
      <c r="C50">
        <v>2</v>
      </c>
      <c r="D50">
        <v>1</v>
      </c>
      <c r="E50">
        <v>2</v>
      </c>
      <c r="F50">
        <v>100</v>
      </c>
      <c r="G50">
        <v>1</v>
      </c>
      <c r="H50">
        <v>62371</v>
      </c>
      <c r="I50">
        <v>160</v>
      </c>
      <c r="J50">
        <v>31</v>
      </c>
      <c r="K50" t="s">
        <v>179</v>
      </c>
      <c r="L50" t="s">
        <v>180</v>
      </c>
      <c r="M50" t="s">
        <v>178</v>
      </c>
      <c r="N50">
        <v>68307000</v>
      </c>
      <c r="O50">
        <v>1</v>
      </c>
      <c r="P50" t="s">
        <v>181</v>
      </c>
      <c r="Q50">
        <v>9</v>
      </c>
      <c r="R50">
        <v>0</v>
      </c>
      <c r="S50">
        <v>0</v>
      </c>
      <c r="T50">
        <v>7</v>
      </c>
      <c r="U50">
        <v>741</v>
      </c>
      <c r="V50">
        <v>-73.166168254940501</v>
      </c>
      <c r="W50">
        <v>7.0249430088983296</v>
      </c>
      <c r="X50">
        <v>3</v>
      </c>
    </row>
    <row r="51" spans="1:24">
      <c r="A51">
        <v>1072896</v>
      </c>
      <c r="B51" t="s">
        <v>182</v>
      </c>
      <c r="C51">
        <v>2</v>
      </c>
      <c r="D51">
        <v>1</v>
      </c>
      <c r="E51">
        <v>2</v>
      </c>
      <c r="F51">
        <v>100</v>
      </c>
      <c r="G51">
        <v>1</v>
      </c>
      <c r="H51">
        <v>62371</v>
      </c>
      <c r="I51">
        <v>160</v>
      </c>
      <c r="J51">
        <v>31</v>
      </c>
      <c r="K51" t="s">
        <v>183</v>
      </c>
      <c r="L51" t="s">
        <v>184</v>
      </c>
      <c r="M51" t="s">
        <v>182</v>
      </c>
      <c r="N51">
        <v>68547000</v>
      </c>
      <c r="O51">
        <v>1</v>
      </c>
      <c r="P51" t="s">
        <v>185</v>
      </c>
      <c r="Q51">
        <v>9</v>
      </c>
      <c r="R51">
        <v>0</v>
      </c>
      <c r="S51">
        <v>0</v>
      </c>
      <c r="T51">
        <v>7</v>
      </c>
      <c r="U51">
        <v>1541</v>
      </c>
      <c r="V51">
        <v>-73.082884254141305</v>
      </c>
      <c r="W51">
        <v>6.9389945894330296</v>
      </c>
      <c r="X51">
        <v>3</v>
      </c>
    </row>
    <row r="52" spans="1:24">
      <c r="A52">
        <v>80630</v>
      </c>
      <c r="B52" t="s">
        <v>186</v>
      </c>
      <c r="C52">
        <v>2</v>
      </c>
      <c r="D52">
        <v>1</v>
      </c>
      <c r="E52">
        <v>2</v>
      </c>
      <c r="F52">
        <v>100</v>
      </c>
      <c r="G52">
        <v>2</v>
      </c>
      <c r="H52">
        <v>62371</v>
      </c>
      <c r="I52">
        <v>160</v>
      </c>
      <c r="J52">
        <v>31</v>
      </c>
      <c r="K52" t="s">
        <v>187</v>
      </c>
      <c r="L52" t="s">
        <v>87</v>
      </c>
      <c r="M52" t="s">
        <v>186</v>
      </c>
      <c r="N52">
        <v>68615000</v>
      </c>
      <c r="O52">
        <v>1</v>
      </c>
      <c r="P52" t="s">
        <v>88</v>
      </c>
      <c r="Q52">
        <v>9</v>
      </c>
      <c r="R52">
        <v>0</v>
      </c>
      <c r="S52">
        <v>0</v>
      </c>
      <c r="T52">
        <v>7</v>
      </c>
      <c r="U52">
        <v>789</v>
      </c>
      <c r="V52">
        <v>-73.197956288104507</v>
      </c>
      <c r="W52">
        <v>7.2489560514150897</v>
      </c>
      <c r="X52">
        <v>3</v>
      </c>
    </row>
    <row r="53" spans="1:24">
      <c r="A53">
        <v>1165250</v>
      </c>
      <c r="B53" t="s">
        <v>188</v>
      </c>
      <c r="C53">
        <v>2</v>
      </c>
      <c r="D53">
        <v>1</v>
      </c>
      <c r="E53">
        <v>2</v>
      </c>
      <c r="F53">
        <v>100</v>
      </c>
      <c r="G53">
        <v>2</v>
      </c>
      <c r="H53">
        <v>62371</v>
      </c>
      <c r="I53">
        <v>160</v>
      </c>
      <c r="J53">
        <v>31</v>
      </c>
      <c r="K53" t="s">
        <v>189</v>
      </c>
      <c r="L53" t="s">
        <v>63</v>
      </c>
      <c r="M53" t="s">
        <v>188</v>
      </c>
      <c r="N53">
        <v>68406000</v>
      </c>
      <c r="O53">
        <v>1</v>
      </c>
      <c r="P53" t="s">
        <v>190</v>
      </c>
      <c r="Q53">
        <v>0</v>
      </c>
      <c r="R53">
        <v>0</v>
      </c>
      <c r="S53">
        <v>0</v>
      </c>
      <c r="T53">
        <v>8</v>
      </c>
      <c r="U53">
        <v>1145</v>
      </c>
      <c r="V53">
        <v>-73.258836475993903</v>
      </c>
      <c r="W53">
        <v>7.0793205726627004</v>
      </c>
      <c r="X53">
        <v>3</v>
      </c>
    </row>
    <row r="54" spans="1:24">
      <c r="A54">
        <v>1422607</v>
      </c>
      <c r="B54" t="s">
        <v>188</v>
      </c>
      <c r="C54">
        <v>2</v>
      </c>
      <c r="D54">
        <v>1</v>
      </c>
      <c r="E54">
        <v>2</v>
      </c>
      <c r="F54">
        <v>100</v>
      </c>
      <c r="G54">
        <v>1</v>
      </c>
      <c r="H54">
        <v>62371</v>
      </c>
      <c r="I54">
        <v>160</v>
      </c>
      <c r="J54">
        <v>31</v>
      </c>
      <c r="K54" t="s">
        <v>191</v>
      </c>
      <c r="L54" t="s">
        <v>63</v>
      </c>
      <c r="M54" t="s">
        <v>188</v>
      </c>
      <c r="N54">
        <v>68406000</v>
      </c>
      <c r="O54">
        <v>1</v>
      </c>
      <c r="P54" t="s">
        <v>192</v>
      </c>
      <c r="Q54">
        <v>9</v>
      </c>
      <c r="R54">
        <v>0</v>
      </c>
      <c r="S54">
        <v>0</v>
      </c>
      <c r="T54">
        <v>7</v>
      </c>
      <c r="U54">
        <v>1145</v>
      </c>
      <c r="V54">
        <v>-73.257450840638299</v>
      </c>
      <c r="W54">
        <v>7.0772380419564298</v>
      </c>
      <c r="X54">
        <v>3</v>
      </c>
    </row>
    <row r="55" spans="1:24">
      <c r="A55">
        <v>611517</v>
      </c>
      <c r="B55" t="s">
        <v>193</v>
      </c>
      <c r="C55">
        <v>2</v>
      </c>
      <c r="D55">
        <v>1</v>
      </c>
      <c r="E55">
        <v>2</v>
      </c>
      <c r="F55">
        <v>100</v>
      </c>
      <c r="G55">
        <v>1</v>
      </c>
      <c r="H55">
        <v>62371</v>
      </c>
      <c r="I55">
        <v>160</v>
      </c>
      <c r="J55">
        <v>32</v>
      </c>
      <c r="K55" t="s">
        <v>194</v>
      </c>
      <c r="L55" t="s">
        <v>195</v>
      </c>
      <c r="M55" t="s">
        <v>193</v>
      </c>
      <c r="N55">
        <v>68255000</v>
      </c>
      <c r="O55">
        <v>1</v>
      </c>
      <c r="P55" t="s">
        <v>196</v>
      </c>
      <c r="Q55">
        <v>9</v>
      </c>
      <c r="R55">
        <v>0</v>
      </c>
      <c r="S55">
        <v>0</v>
      </c>
      <c r="T55">
        <v>7</v>
      </c>
      <c r="U55">
        <v>463</v>
      </c>
      <c r="V55">
        <v>-73.198768963245996</v>
      </c>
      <c r="W55">
        <v>7.4525104008231198</v>
      </c>
      <c r="X55">
        <v>3</v>
      </c>
    </row>
    <row r="56" spans="1:24">
      <c r="A56">
        <v>98495</v>
      </c>
      <c r="B56" t="s">
        <v>197</v>
      </c>
      <c r="C56">
        <v>2</v>
      </c>
      <c r="D56">
        <v>1</v>
      </c>
      <c r="E56">
        <v>2</v>
      </c>
      <c r="F56">
        <v>100</v>
      </c>
      <c r="G56">
        <v>2</v>
      </c>
      <c r="H56">
        <v>62371</v>
      </c>
      <c r="I56">
        <v>160</v>
      </c>
      <c r="J56">
        <v>31</v>
      </c>
      <c r="K56" t="s">
        <v>198</v>
      </c>
      <c r="L56" t="s">
        <v>199</v>
      </c>
      <c r="M56" t="s">
        <v>197</v>
      </c>
      <c r="N56">
        <v>68418000</v>
      </c>
      <c r="O56">
        <v>1</v>
      </c>
      <c r="P56" t="s">
        <v>200</v>
      </c>
      <c r="Q56">
        <v>9</v>
      </c>
      <c r="R56">
        <v>0</v>
      </c>
      <c r="S56">
        <v>0</v>
      </c>
      <c r="T56">
        <v>7</v>
      </c>
      <c r="U56">
        <v>1673</v>
      </c>
      <c r="V56">
        <v>-73.072275869575293</v>
      </c>
      <c r="W56">
        <v>6.8427486748847102</v>
      </c>
      <c r="X56">
        <v>3</v>
      </c>
    </row>
    <row r="57" spans="1:24">
      <c r="A57">
        <v>470245</v>
      </c>
      <c r="B57" t="s">
        <v>201</v>
      </c>
      <c r="C57">
        <v>2</v>
      </c>
      <c r="D57">
        <v>1</v>
      </c>
      <c r="E57">
        <v>2</v>
      </c>
      <c r="F57">
        <v>100</v>
      </c>
      <c r="G57">
        <v>2</v>
      </c>
      <c r="H57">
        <v>62371</v>
      </c>
      <c r="I57">
        <v>160</v>
      </c>
      <c r="J57">
        <v>22</v>
      </c>
      <c r="K57" t="s">
        <v>202</v>
      </c>
      <c r="L57" t="s">
        <v>203</v>
      </c>
      <c r="M57" t="s">
        <v>201</v>
      </c>
      <c r="N57">
        <v>68861000</v>
      </c>
      <c r="O57">
        <v>2</v>
      </c>
      <c r="P57" t="s">
        <v>204</v>
      </c>
      <c r="Q57">
        <v>0</v>
      </c>
      <c r="R57">
        <v>0</v>
      </c>
      <c r="S57">
        <v>0</v>
      </c>
      <c r="T57">
        <v>8</v>
      </c>
      <c r="U57">
        <v>2141</v>
      </c>
      <c r="V57">
        <v>-73.6709086445709</v>
      </c>
      <c r="W57">
        <v>6.0129602690879702</v>
      </c>
      <c r="X57">
        <v>3</v>
      </c>
    </row>
    <row r="58" spans="1:24">
      <c r="A58">
        <v>83948</v>
      </c>
      <c r="B58" t="s">
        <v>205</v>
      </c>
      <c r="C58">
        <v>2</v>
      </c>
      <c r="D58">
        <v>1</v>
      </c>
      <c r="E58">
        <v>2</v>
      </c>
      <c r="F58">
        <v>100</v>
      </c>
      <c r="G58">
        <v>1</v>
      </c>
      <c r="H58">
        <v>62371</v>
      </c>
      <c r="I58">
        <v>160</v>
      </c>
      <c r="J58">
        <v>23</v>
      </c>
      <c r="K58" t="s">
        <v>206</v>
      </c>
      <c r="L58" t="s">
        <v>207</v>
      </c>
      <c r="M58" t="s">
        <v>205</v>
      </c>
      <c r="N58">
        <v>68655000</v>
      </c>
      <c r="O58">
        <v>2</v>
      </c>
      <c r="P58" t="s">
        <v>208</v>
      </c>
      <c r="Q58">
        <v>0</v>
      </c>
      <c r="R58">
        <v>0</v>
      </c>
      <c r="S58">
        <v>0</v>
      </c>
      <c r="T58">
        <v>3</v>
      </c>
      <c r="U58">
        <v>143</v>
      </c>
      <c r="V58">
        <v>-73.490656928820599</v>
      </c>
      <c r="W58">
        <v>7.39523970987468</v>
      </c>
      <c r="X58">
        <v>3</v>
      </c>
    </row>
    <row r="59" spans="1:24">
      <c r="A59">
        <v>217741</v>
      </c>
      <c r="B59" t="s">
        <v>209</v>
      </c>
      <c r="C59">
        <v>2</v>
      </c>
      <c r="D59">
        <v>1</v>
      </c>
      <c r="E59">
        <v>2</v>
      </c>
      <c r="F59">
        <v>100</v>
      </c>
      <c r="G59">
        <v>2</v>
      </c>
      <c r="H59">
        <v>62371</v>
      </c>
      <c r="I59">
        <v>160</v>
      </c>
      <c r="J59">
        <v>11</v>
      </c>
      <c r="K59" t="s">
        <v>210</v>
      </c>
      <c r="L59" t="s">
        <v>211</v>
      </c>
      <c r="M59" t="s">
        <v>209</v>
      </c>
      <c r="N59">
        <v>68547000</v>
      </c>
      <c r="O59">
        <v>2</v>
      </c>
      <c r="P59" t="s">
        <v>212</v>
      </c>
      <c r="Q59">
        <v>0</v>
      </c>
      <c r="R59">
        <v>0</v>
      </c>
      <c r="S59">
        <v>0</v>
      </c>
      <c r="T59">
        <v>3</v>
      </c>
      <c r="U59">
        <v>1024</v>
      </c>
      <c r="V59">
        <v>-73.047205908999203</v>
      </c>
      <c r="W59">
        <v>6.98836910748145</v>
      </c>
      <c r="X59">
        <v>3</v>
      </c>
    </row>
    <row r="60" spans="1:24">
      <c r="A60">
        <v>1658173</v>
      </c>
      <c r="B60" t="s">
        <v>213</v>
      </c>
      <c r="C60">
        <v>2</v>
      </c>
      <c r="D60">
        <v>1</v>
      </c>
      <c r="E60">
        <v>2</v>
      </c>
      <c r="F60">
        <v>100</v>
      </c>
      <c r="G60">
        <v>2</v>
      </c>
      <c r="H60">
        <v>62371</v>
      </c>
      <c r="I60">
        <v>160</v>
      </c>
      <c r="J60">
        <v>11</v>
      </c>
      <c r="K60" t="s">
        <v>214</v>
      </c>
      <c r="L60" t="s">
        <v>215</v>
      </c>
      <c r="M60" t="s">
        <v>213</v>
      </c>
      <c r="N60">
        <v>68001000</v>
      </c>
      <c r="O60">
        <v>2</v>
      </c>
      <c r="P60" t="s">
        <v>216</v>
      </c>
      <c r="Q60">
        <v>0</v>
      </c>
      <c r="R60">
        <v>0</v>
      </c>
      <c r="S60">
        <v>0</v>
      </c>
      <c r="T60">
        <v>8</v>
      </c>
      <c r="U60">
        <v>894</v>
      </c>
      <c r="V60">
        <v>-73.140781680956394</v>
      </c>
      <c r="W60">
        <v>7.1033699090761999</v>
      </c>
      <c r="X60">
        <v>3</v>
      </c>
    </row>
    <row r="61" spans="1:24">
      <c r="A61">
        <v>387688</v>
      </c>
      <c r="B61" t="s">
        <v>217</v>
      </c>
      <c r="C61">
        <v>2</v>
      </c>
      <c r="D61">
        <v>1</v>
      </c>
      <c r="E61">
        <v>2</v>
      </c>
      <c r="F61">
        <v>100</v>
      </c>
      <c r="G61">
        <v>1</v>
      </c>
      <c r="H61">
        <v>62371</v>
      </c>
      <c r="I61">
        <v>160</v>
      </c>
      <c r="J61">
        <v>13</v>
      </c>
      <c r="K61" t="s">
        <v>218</v>
      </c>
      <c r="L61" t="s">
        <v>219</v>
      </c>
      <c r="M61" t="s">
        <v>217</v>
      </c>
      <c r="N61">
        <v>68081000</v>
      </c>
      <c r="O61">
        <v>2</v>
      </c>
      <c r="P61" t="s">
        <v>220</v>
      </c>
      <c r="Q61">
        <v>0</v>
      </c>
      <c r="R61">
        <v>0</v>
      </c>
      <c r="S61">
        <v>0</v>
      </c>
      <c r="T61">
        <v>8</v>
      </c>
      <c r="U61">
        <v>82</v>
      </c>
      <c r="V61">
        <v>-73.856072876629298</v>
      </c>
      <c r="W61">
        <v>7.0638740218443203</v>
      </c>
      <c r="X61">
        <v>3</v>
      </c>
    </row>
    <row r="62" spans="1:24">
      <c r="A62">
        <v>1200652</v>
      </c>
      <c r="B62" t="s">
        <v>221</v>
      </c>
      <c r="C62">
        <v>2</v>
      </c>
      <c r="D62">
        <v>1</v>
      </c>
      <c r="E62">
        <v>2</v>
      </c>
      <c r="F62">
        <v>100</v>
      </c>
      <c r="G62">
        <v>2</v>
      </c>
      <c r="H62">
        <v>62371</v>
      </c>
      <c r="I62">
        <v>160</v>
      </c>
      <c r="J62">
        <v>11</v>
      </c>
      <c r="K62" t="s">
        <v>222</v>
      </c>
      <c r="L62" t="s">
        <v>33</v>
      </c>
      <c r="M62" t="s">
        <v>221</v>
      </c>
      <c r="N62">
        <v>68276000</v>
      </c>
      <c r="O62">
        <v>2</v>
      </c>
      <c r="P62" t="s">
        <v>223</v>
      </c>
      <c r="Q62">
        <v>0</v>
      </c>
      <c r="R62">
        <v>0</v>
      </c>
      <c r="S62">
        <v>0</v>
      </c>
      <c r="T62">
        <v>8</v>
      </c>
      <c r="U62">
        <v>1027</v>
      </c>
      <c r="V62">
        <v>-73.089126997678804</v>
      </c>
      <c r="W62">
        <v>7.0766104156281404</v>
      </c>
      <c r="X62">
        <v>3</v>
      </c>
    </row>
    <row r="63" spans="1:24">
      <c r="A63">
        <v>22630</v>
      </c>
      <c r="B63" t="s">
        <v>224</v>
      </c>
      <c r="C63">
        <v>2</v>
      </c>
      <c r="D63">
        <v>1</v>
      </c>
      <c r="E63">
        <v>2</v>
      </c>
      <c r="F63">
        <v>100</v>
      </c>
      <c r="G63">
        <v>2</v>
      </c>
      <c r="H63">
        <v>62371</v>
      </c>
      <c r="I63">
        <v>160</v>
      </c>
      <c r="J63">
        <v>11</v>
      </c>
      <c r="K63" t="s">
        <v>225</v>
      </c>
      <c r="L63" t="s">
        <v>226</v>
      </c>
      <c r="M63" t="s">
        <v>224</v>
      </c>
      <c r="N63">
        <v>68001000</v>
      </c>
      <c r="O63">
        <v>2</v>
      </c>
      <c r="P63" t="s">
        <v>227</v>
      </c>
      <c r="Q63">
        <v>0</v>
      </c>
      <c r="R63">
        <v>0</v>
      </c>
      <c r="S63">
        <v>0</v>
      </c>
      <c r="T63">
        <v>8</v>
      </c>
      <c r="U63">
        <v>979</v>
      </c>
      <c r="V63">
        <v>-73.124235366390906</v>
      </c>
      <c r="W63">
        <v>7.12686433072518</v>
      </c>
      <c r="X63">
        <v>3</v>
      </c>
    </row>
    <row r="64" spans="1:24">
      <c r="A64">
        <v>22628</v>
      </c>
      <c r="B64" t="s">
        <v>224</v>
      </c>
      <c r="C64">
        <v>2</v>
      </c>
      <c r="D64">
        <v>1</v>
      </c>
      <c r="E64">
        <v>2</v>
      </c>
      <c r="F64">
        <v>100</v>
      </c>
      <c r="G64">
        <v>2</v>
      </c>
      <c r="H64">
        <v>62371</v>
      </c>
      <c r="I64">
        <v>160</v>
      </c>
      <c r="J64">
        <v>11</v>
      </c>
      <c r="K64" t="s">
        <v>228</v>
      </c>
      <c r="L64" t="s">
        <v>226</v>
      </c>
      <c r="M64" t="s">
        <v>224</v>
      </c>
      <c r="N64">
        <v>68001000</v>
      </c>
      <c r="O64">
        <v>2</v>
      </c>
      <c r="P64" t="s">
        <v>229</v>
      </c>
      <c r="Q64">
        <v>0</v>
      </c>
      <c r="R64">
        <v>0</v>
      </c>
      <c r="S64">
        <v>0</v>
      </c>
      <c r="T64">
        <v>8</v>
      </c>
      <c r="U64">
        <v>977</v>
      </c>
      <c r="V64">
        <v>-73.124399947390998</v>
      </c>
      <c r="W64">
        <v>7.1268312426462197</v>
      </c>
      <c r="X64">
        <v>3</v>
      </c>
    </row>
    <row r="65" spans="1:24">
      <c r="A65">
        <v>14731</v>
      </c>
      <c r="B65" t="s">
        <v>230</v>
      </c>
      <c r="C65">
        <v>2</v>
      </c>
      <c r="D65">
        <v>1</v>
      </c>
      <c r="E65">
        <v>2</v>
      </c>
      <c r="F65">
        <v>100</v>
      </c>
      <c r="G65">
        <v>1</v>
      </c>
      <c r="H65">
        <v>62371</v>
      </c>
      <c r="I65">
        <v>160</v>
      </c>
      <c r="J65">
        <v>11</v>
      </c>
      <c r="K65" t="s">
        <v>231</v>
      </c>
      <c r="L65" t="s">
        <v>232</v>
      </c>
      <c r="M65" t="s">
        <v>230</v>
      </c>
      <c r="N65">
        <v>68001000</v>
      </c>
      <c r="O65">
        <v>2</v>
      </c>
      <c r="P65" t="s">
        <v>233</v>
      </c>
      <c r="Q65">
        <v>0</v>
      </c>
      <c r="R65">
        <v>0</v>
      </c>
      <c r="S65">
        <v>0</v>
      </c>
      <c r="T65">
        <v>8</v>
      </c>
      <c r="U65">
        <v>981</v>
      </c>
      <c r="V65">
        <v>-73.124681452107396</v>
      </c>
      <c r="W65">
        <v>7.1343751257793402</v>
      </c>
      <c r="X65">
        <v>3</v>
      </c>
    </row>
    <row r="66" spans="1:24">
      <c r="A66">
        <v>263254</v>
      </c>
      <c r="B66" t="s">
        <v>234</v>
      </c>
      <c r="C66">
        <v>2</v>
      </c>
      <c r="D66">
        <v>1</v>
      </c>
      <c r="E66">
        <v>2</v>
      </c>
      <c r="F66">
        <v>100</v>
      </c>
      <c r="G66">
        <v>2</v>
      </c>
      <c r="H66">
        <v>62371</v>
      </c>
      <c r="I66">
        <v>160</v>
      </c>
      <c r="J66">
        <v>11</v>
      </c>
      <c r="K66" t="s">
        <v>235</v>
      </c>
      <c r="L66" t="s">
        <v>236</v>
      </c>
      <c r="M66" t="s">
        <v>234</v>
      </c>
      <c r="N66">
        <v>68001000</v>
      </c>
      <c r="O66">
        <v>2</v>
      </c>
      <c r="P66" t="s">
        <v>237</v>
      </c>
      <c r="Q66">
        <v>0</v>
      </c>
      <c r="R66">
        <v>0</v>
      </c>
      <c r="S66">
        <v>0</v>
      </c>
      <c r="T66">
        <v>8</v>
      </c>
      <c r="U66">
        <v>992</v>
      </c>
      <c r="V66">
        <v>-73.111089767364902</v>
      </c>
      <c r="W66">
        <v>7.1176518740605204</v>
      </c>
      <c r="X66">
        <v>3</v>
      </c>
    </row>
    <row r="67" spans="1:24">
      <c r="A67">
        <v>524123</v>
      </c>
      <c r="B67" t="s">
        <v>234</v>
      </c>
      <c r="C67">
        <v>2</v>
      </c>
      <c r="D67">
        <v>1</v>
      </c>
      <c r="E67">
        <v>2</v>
      </c>
      <c r="F67">
        <v>100</v>
      </c>
      <c r="G67">
        <v>2</v>
      </c>
      <c r="H67">
        <v>62371</v>
      </c>
      <c r="I67">
        <v>160</v>
      </c>
      <c r="J67">
        <v>11</v>
      </c>
      <c r="K67" t="s">
        <v>238</v>
      </c>
      <c r="L67" t="s">
        <v>236</v>
      </c>
      <c r="M67" t="s">
        <v>234</v>
      </c>
      <c r="N67">
        <v>68001000</v>
      </c>
      <c r="O67">
        <v>2</v>
      </c>
      <c r="P67" t="s">
        <v>239</v>
      </c>
      <c r="Q67">
        <v>0</v>
      </c>
      <c r="R67">
        <v>0</v>
      </c>
      <c r="S67">
        <v>0</v>
      </c>
      <c r="T67">
        <v>8</v>
      </c>
      <c r="U67">
        <v>991</v>
      </c>
      <c r="V67">
        <v>-73.111083814153204</v>
      </c>
      <c r="W67">
        <v>7.1176075716494198</v>
      </c>
      <c r="X67">
        <v>3</v>
      </c>
    </row>
    <row r="68" spans="1:24">
      <c r="A68">
        <v>1315745</v>
      </c>
      <c r="B68" t="s">
        <v>240</v>
      </c>
      <c r="C68">
        <v>2</v>
      </c>
      <c r="D68">
        <v>1</v>
      </c>
      <c r="E68">
        <v>2</v>
      </c>
      <c r="F68">
        <v>100</v>
      </c>
      <c r="G68">
        <v>1</v>
      </c>
      <c r="H68">
        <v>62371</v>
      </c>
      <c r="I68">
        <v>160</v>
      </c>
      <c r="J68">
        <v>21</v>
      </c>
      <c r="K68" t="s">
        <v>241</v>
      </c>
      <c r="L68" t="s">
        <v>45</v>
      </c>
      <c r="M68" t="s">
        <v>240</v>
      </c>
      <c r="N68">
        <v>68406000</v>
      </c>
      <c r="O68">
        <v>2</v>
      </c>
      <c r="P68" t="s">
        <v>242</v>
      </c>
      <c r="Q68">
        <v>0</v>
      </c>
      <c r="R68">
        <v>0</v>
      </c>
      <c r="S68">
        <v>0</v>
      </c>
      <c r="T68">
        <v>8</v>
      </c>
      <c r="U68">
        <v>1009</v>
      </c>
      <c r="V68">
        <v>-73.218548467207597</v>
      </c>
      <c r="W68">
        <v>7.1135354198168104</v>
      </c>
      <c r="X68">
        <v>3</v>
      </c>
    </row>
    <row r="69" spans="1:24">
      <c r="A69">
        <v>33961</v>
      </c>
      <c r="B69" t="s">
        <v>243</v>
      </c>
      <c r="C69">
        <v>2</v>
      </c>
      <c r="D69">
        <v>1</v>
      </c>
      <c r="E69">
        <v>2</v>
      </c>
      <c r="F69">
        <v>0</v>
      </c>
      <c r="G69">
        <v>2</v>
      </c>
      <c r="H69">
        <v>62371</v>
      </c>
      <c r="I69">
        <v>160</v>
      </c>
      <c r="J69">
        <v>11</v>
      </c>
      <c r="K69" t="s">
        <v>244</v>
      </c>
      <c r="L69" t="s">
        <v>245</v>
      </c>
      <c r="M69" t="s">
        <v>243</v>
      </c>
      <c r="N69">
        <v>68001000</v>
      </c>
      <c r="O69">
        <v>2</v>
      </c>
      <c r="P69" t="s">
        <v>246</v>
      </c>
      <c r="Q69">
        <v>0</v>
      </c>
      <c r="R69">
        <v>0</v>
      </c>
      <c r="S69">
        <v>0</v>
      </c>
      <c r="T69">
        <v>8</v>
      </c>
      <c r="U69">
        <v>967</v>
      </c>
      <c r="V69">
        <v>-73.125305170696706</v>
      </c>
      <c r="W69">
        <v>7.1188115562735303</v>
      </c>
      <c r="X69">
        <v>3</v>
      </c>
    </row>
    <row r="70" spans="1:24">
      <c r="A70">
        <v>268226</v>
      </c>
      <c r="B70" t="s">
        <v>247</v>
      </c>
      <c r="C70">
        <v>2</v>
      </c>
      <c r="D70">
        <v>1</v>
      </c>
      <c r="E70">
        <v>2</v>
      </c>
      <c r="F70">
        <v>100</v>
      </c>
      <c r="G70">
        <v>1</v>
      </c>
      <c r="H70">
        <v>62371</v>
      </c>
      <c r="I70">
        <v>160</v>
      </c>
      <c r="J70">
        <v>11</v>
      </c>
      <c r="K70" t="s">
        <v>248</v>
      </c>
      <c r="L70" t="s">
        <v>249</v>
      </c>
      <c r="M70" t="s">
        <v>247</v>
      </c>
      <c r="N70">
        <v>68001000</v>
      </c>
      <c r="O70">
        <v>2</v>
      </c>
      <c r="P70" t="s">
        <v>250</v>
      </c>
      <c r="Q70">
        <v>0</v>
      </c>
      <c r="R70">
        <v>0</v>
      </c>
      <c r="S70">
        <v>0</v>
      </c>
      <c r="T70">
        <v>8</v>
      </c>
      <c r="U70">
        <v>960</v>
      </c>
      <c r="V70">
        <v>-73.117967558216506</v>
      </c>
      <c r="W70">
        <v>7.1134363901738302</v>
      </c>
      <c r="X70">
        <v>3</v>
      </c>
    </row>
    <row r="71" spans="1:24">
      <c r="A71">
        <v>1781517</v>
      </c>
      <c r="B71" t="s">
        <v>251</v>
      </c>
      <c r="C71">
        <v>2</v>
      </c>
      <c r="D71">
        <v>1</v>
      </c>
      <c r="E71">
        <v>3</v>
      </c>
      <c r="F71">
        <v>0</v>
      </c>
      <c r="G71">
        <v>2</v>
      </c>
      <c r="H71">
        <v>62371</v>
      </c>
      <c r="I71">
        <v>160</v>
      </c>
      <c r="J71">
        <v>11</v>
      </c>
      <c r="K71" t="s">
        <v>252</v>
      </c>
      <c r="L71" t="s">
        <v>253</v>
      </c>
      <c r="M71" t="s">
        <v>251</v>
      </c>
      <c r="N71">
        <v>68001000</v>
      </c>
      <c r="O71">
        <v>2</v>
      </c>
      <c r="P71" t="s">
        <v>254</v>
      </c>
      <c r="Q71">
        <v>0</v>
      </c>
      <c r="R71">
        <v>0</v>
      </c>
      <c r="S71">
        <v>0</v>
      </c>
      <c r="T71">
        <v>8</v>
      </c>
      <c r="U71">
        <v>1037</v>
      </c>
      <c r="V71">
        <v>-73.111466441517294</v>
      </c>
      <c r="W71">
        <v>7.1306630146665198</v>
      </c>
      <c r="X71">
        <v>3</v>
      </c>
    </row>
    <row r="72" spans="1:24">
      <c r="A72">
        <v>613333</v>
      </c>
      <c r="B72" t="s">
        <v>255</v>
      </c>
      <c r="C72">
        <v>2</v>
      </c>
      <c r="D72">
        <v>1</v>
      </c>
      <c r="E72">
        <v>2</v>
      </c>
      <c r="F72">
        <v>0</v>
      </c>
      <c r="G72">
        <v>2</v>
      </c>
      <c r="H72">
        <v>62371</v>
      </c>
      <c r="I72">
        <v>160</v>
      </c>
      <c r="J72">
        <v>11</v>
      </c>
      <c r="K72" t="s">
        <v>256</v>
      </c>
      <c r="L72" t="s">
        <v>257</v>
      </c>
      <c r="M72" t="s">
        <v>255</v>
      </c>
      <c r="N72">
        <v>68001000</v>
      </c>
      <c r="O72">
        <v>2</v>
      </c>
      <c r="P72" t="s">
        <v>258</v>
      </c>
      <c r="Q72">
        <v>0</v>
      </c>
      <c r="R72">
        <v>0</v>
      </c>
      <c r="S72">
        <v>0</v>
      </c>
      <c r="T72">
        <v>8</v>
      </c>
      <c r="U72">
        <v>980</v>
      </c>
      <c r="V72">
        <v>-73.108990349323904</v>
      </c>
      <c r="W72">
        <v>7.1128986525187701</v>
      </c>
      <c r="X72">
        <v>3</v>
      </c>
    </row>
    <row r="73" spans="1:24">
      <c r="A73">
        <v>1523649</v>
      </c>
      <c r="B73" t="s">
        <v>259</v>
      </c>
      <c r="C73">
        <v>2</v>
      </c>
      <c r="D73">
        <v>1</v>
      </c>
      <c r="E73">
        <v>2</v>
      </c>
      <c r="F73">
        <v>0</v>
      </c>
      <c r="G73">
        <v>2</v>
      </c>
      <c r="H73">
        <v>62371</v>
      </c>
      <c r="I73">
        <v>160</v>
      </c>
      <c r="J73">
        <v>11</v>
      </c>
      <c r="K73" t="s">
        <v>260</v>
      </c>
      <c r="L73" t="s">
        <v>261</v>
      </c>
      <c r="M73" t="s">
        <v>259</v>
      </c>
      <c r="N73">
        <v>68001000</v>
      </c>
      <c r="O73">
        <v>2</v>
      </c>
      <c r="P73" t="s">
        <v>262</v>
      </c>
      <c r="Q73">
        <v>0</v>
      </c>
      <c r="R73">
        <v>0</v>
      </c>
      <c r="S73">
        <v>0</v>
      </c>
      <c r="T73">
        <v>8</v>
      </c>
      <c r="U73">
        <v>938</v>
      </c>
      <c r="V73">
        <v>-73.105936643785597</v>
      </c>
      <c r="W73">
        <v>7.0922274914390604</v>
      </c>
      <c r="X73">
        <v>3</v>
      </c>
    </row>
    <row r="74" spans="1:24">
      <c r="A74">
        <v>1523674</v>
      </c>
      <c r="B74" t="s">
        <v>259</v>
      </c>
      <c r="C74">
        <v>2</v>
      </c>
      <c r="D74">
        <v>1</v>
      </c>
      <c r="E74">
        <v>2</v>
      </c>
      <c r="F74">
        <v>0</v>
      </c>
      <c r="G74">
        <v>2</v>
      </c>
      <c r="H74">
        <v>62371</v>
      </c>
      <c r="I74">
        <v>160</v>
      </c>
      <c r="J74">
        <v>11</v>
      </c>
      <c r="K74" t="s">
        <v>263</v>
      </c>
      <c r="L74" t="s">
        <v>261</v>
      </c>
      <c r="M74" t="s">
        <v>259</v>
      </c>
      <c r="N74">
        <v>68001000</v>
      </c>
      <c r="O74">
        <v>2</v>
      </c>
      <c r="P74" t="s">
        <v>264</v>
      </c>
      <c r="Q74">
        <v>0</v>
      </c>
      <c r="R74">
        <v>0</v>
      </c>
      <c r="S74">
        <v>0</v>
      </c>
      <c r="T74">
        <v>8</v>
      </c>
      <c r="U74">
        <v>938</v>
      </c>
      <c r="V74">
        <v>-73.105920552901395</v>
      </c>
      <c r="W74">
        <v>7.0922198861750703</v>
      </c>
      <c r="X74">
        <v>3</v>
      </c>
    </row>
    <row r="75" spans="1:24">
      <c r="A75">
        <v>36160</v>
      </c>
      <c r="B75" t="s">
        <v>265</v>
      </c>
      <c r="C75">
        <v>2</v>
      </c>
      <c r="D75">
        <v>1</v>
      </c>
      <c r="E75">
        <v>2</v>
      </c>
      <c r="F75">
        <v>0</v>
      </c>
      <c r="G75">
        <v>2</v>
      </c>
      <c r="H75">
        <v>62371</v>
      </c>
      <c r="I75">
        <v>160</v>
      </c>
      <c r="J75">
        <v>11</v>
      </c>
      <c r="K75" t="s">
        <v>266</v>
      </c>
      <c r="L75" t="s">
        <v>267</v>
      </c>
      <c r="M75" t="s">
        <v>265</v>
      </c>
      <c r="N75">
        <v>68001000</v>
      </c>
      <c r="O75">
        <v>2</v>
      </c>
      <c r="P75" t="s">
        <v>268</v>
      </c>
      <c r="Q75">
        <v>0</v>
      </c>
      <c r="R75">
        <v>0</v>
      </c>
      <c r="S75">
        <v>0</v>
      </c>
      <c r="T75">
        <v>8</v>
      </c>
      <c r="U75">
        <v>967</v>
      </c>
      <c r="V75">
        <v>-73.123732883399398</v>
      </c>
      <c r="W75">
        <v>7.1204365076227996</v>
      </c>
      <c r="X75">
        <v>3</v>
      </c>
    </row>
    <row r="76" spans="1:24">
      <c r="A76">
        <v>609429</v>
      </c>
      <c r="B76" t="s">
        <v>269</v>
      </c>
      <c r="C76">
        <v>2</v>
      </c>
      <c r="D76">
        <v>2</v>
      </c>
      <c r="E76">
        <v>0</v>
      </c>
      <c r="F76">
        <v>101</v>
      </c>
      <c r="G76">
        <v>2</v>
      </c>
      <c r="H76">
        <v>62371</v>
      </c>
      <c r="I76">
        <v>160</v>
      </c>
      <c r="J76">
        <v>11</v>
      </c>
      <c r="K76" t="s">
        <v>270</v>
      </c>
      <c r="L76" t="s">
        <v>271</v>
      </c>
      <c r="M76" t="s">
        <v>269</v>
      </c>
      <c r="N76">
        <v>68001000</v>
      </c>
      <c r="O76">
        <v>2</v>
      </c>
      <c r="P76" t="s">
        <v>272</v>
      </c>
      <c r="Q76">
        <v>0</v>
      </c>
      <c r="R76">
        <v>0</v>
      </c>
      <c r="S76">
        <v>0</v>
      </c>
      <c r="T76">
        <v>7</v>
      </c>
      <c r="U76">
        <v>781</v>
      </c>
      <c r="V76">
        <v>-73.137791904813</v>
      </c>
      <c r="W76">
        <v>7.0873623409689497</v>
      </c>
      <c r="X76">
        <v>3</v>
      </c>
    </row>
    <row r="77" spans="1:24">
      <c r="A77">
        <v>94164</v>
      </c>
      <c r="B77" t="s">
        <v>273</v>
      </c>
      <c r="C77">
        <v>2</v>
      </c>
      <c r="D77">
        <v>1</v>
      </c>
      <c r="E77">
        <v>2</v>
      </c>
      <c r="F77">
        <v>0</v>
      </c>
      <c r="G77">
        <v>1</v>
      </c>
      <c r="H77">
        <v>62371</v>
      </c>
      <c r="I77">
        <v>160</v>
      </c>
      <c r="J77">
        <v>31</v>
      </c>
      <c r="K77" t="s">
        <v>274</v>
      </c>
      <c r="L77" t="s">
        <v>275</v>
      </c>
      <c r="M77" t="s">
        <v>273</v>
      </c>
      <c r="N77">
        <v>68307000</v>
      </c>
      <c r="O77">
        <v>1</v>
      </c>
      <c r="P77" t="s">
        <v>276</v>
      </c>
      <c r="Q77">
        <v>9</v>
      </c>
      <c r="R77">
        <v>0</v>
      </c>
      <c r="S77">
        <v>0</v>
      </c>
      <c r="T77">
        <v>7</v>
      </c>
      <c r="U77">
        <v>941</v>
      </c>
      <c r="V77">
        <v>-73.186563695178805</v>
      </c>
      <c r="W77">
        <v>7.0888404840703698</v>
      </c>
      <c r="X77">
        <v>3</v>
      </c>
    </row>
    <row r="78" spans="1:24">
      <c r="A78">
        <v>1423132</v>
      </c>
      <c r="B78" t="s">
        <v>277</v>
      </c>
      <c r="C78">
        <v>2</v>
      </c>
      <c r="D78">
        <v>2</v>
      </c>
      <c r="E78">
        <v>0</v>
      </c>
      <c r="F78">
        <v>101</v>
      </c>
      <c r="G78">
        <v>2</v>
      </c>
      <c r="H78">
        <v>62371</v>
      </c>
      <c r="I78">
        <v>160</v>
      </c>
      <c r="J78">
        <v>11</v>
      </c>
      <c r="K78" t="s">
        <v>278</v>
      </c>
      <c r="L78" t="s">
        <v>279</v>
      </c>
      <c r="M78" t="s">
        <v>277</v>
      </c>
      <c r="N78">
        <v>68001000</v>
      </c>
      <c r="O78">
        <v>2</v>
      </c>
      <c r="P78" t="s">
        <v>280</v>
      </c>
      <c r="Q78">
        <v>0</v>
      </c>
      <c r="R78">
        <v>0</v>
      </c>
      <c r="S78">
        <v>0</v>
      </c>
      <c r="T78">
        <v>8</v>
      </c>
      <c r="U78">
        <v>670</v>
      </c>
      <c r="V78">
        <v>-73.166336739373094</v>
      </c>
      <c r="W78">
        <v>7.1009811947666304</v>
      </c>
      <c r="X78">
        <v>3</v>
      </c>
    </row>
    <row r="79" spans="1:24">
      <c r="A79">
        <v>609526</v>
      </c>
      <c r="B79" t="s">
        <v>281</v>
      </c>
      <c r="C79">
        <v>2</v>
      </c>
      <c r="D79">
        <v>2</v>
      </c>
      <c r="E79">
        <v>0</v>
      </c>
      <c r="F79">
        <v>101</v>
      </c>
      <c r="G79">
        <v>2</v>
      </c>
      <c r="H79">
        <v>62371</v>
      </c>
      <c r="I79">
        <v>160</v>
      </c>
      <c r="J79">
        <v>11</v>
      </c>
      <c r="K79" t="s">
        <v>282</v>
      </c>
      <c r="L79" t="s">
        <v>95</v>
      </c>
      <c r="M79" t="s">
        <v>281</v>
      </c>
      <c r="N79">
        <v>68276000</v>
      </c>
      <c r="O79">
        <v>2</v>
      </c>
      <c r="P79" t="s">
        <v>283</v>
      </c>
      <c r="Q79">
        <v>0</v>
      </c>
      <c r="R79">
        <v>0</v>
      </c>
      <c r="S79">
        <v>0</v>
      </c>
      <c r="T79">
        <v>7</v>
      </c>
      <c r="U79">
        <v>861</v>
      </c>
      <c r="V79">
        <v>-73.109008470313597</v>
      </c>
      <c r="W79">
        <v>7.0749840143814504</v>
      </c>
      <c r="X79">
        <v>3</v>
      </c>
    </row>
    <row r="80" spans="1:24">
      <c r="A80">
        <v>349035</v>
      </c>
      <c r="B80" t="s">
        <v>284</v>
      </c>
      <c r="C80">
        <v>2</v>
      </c>
      <c r="D80">
        <v>1</v>
      </c>
      <c r="E80">
        <v>2</v>
      </c>
      <c r="F80">
        <v>100</v>
      </c>
      <c r="G80">
        <v>2</v>
      </c>
      <c r="H80">
        <v>62371</v>
      </c>
      <c r="I80">
        <v>160</v>
      </c>
      <c r="J80">
        <v>11</v>
      </c>
      <c r="K80" t="s">
        <v>285</v>
      </c>
      <c r="L80" t="s">
        <v>172</v>
      </c>
      <c r="M80" t="s">
        <v>284</v>
      </c>
      <c r="N80">
        <v>68276000</v>
      </c>
      <c r="O80">
        <v>2</v>
      </c>
      <c r="P80" t="s">
        <v>286</v>
      </c>
      <c r="Q80">
        <v>0</v>
      </c>
      <c r="R80">
        <v>0</v>
      </c>
      <c r="S80">
        <v>0</v>
      </c>
      <c r="T80">
        <v>8</v>
      </c>
      <c r="U80">
        <v>933</v>
      </c>
      <c r="V80">
        <v>-73.085785229963193</v>
      </c>
      <c r="W80">
        <v>7.0633999148649904</v>
      </c>
      <c r="X80">
        <v>3</v>
      </c>
    </row>
    <row r="81" spans="1:24">
      <c r="A81">
        <v>93011</v>
      </c>
      <c r="B81" t="s">
        <v>287</v>
      </c>
      <c r="C81">
        <v>2</v>
      </c>
      <c r="D81">
        <v>2</v>
      </c>
      <c r="E81">
        <v>0</v>
      </c>
      <c r="F81">
        <v>101</v>
      </c>
      <c r="G81">
        <v>2</v>
      </c>
      <c r="H81">
        <v>62371</v>
      </c>
      <c r="I81">
        <v>160</v>
      </c>
      <c r="J81">
        <v>31</v>
      </c>
      <c r="K81" t="s">
        <v>288</v>
      </c>
      <c r="L81" t="s">
        <v>63</v>
      </c>
      <c r="M81" t="s">
        <v>287</v>
      </c>
      <c r="N81">
        <v>68406000</v>
      </c>
      <c r="O81">
        <v>1</v>
      </c>
      <c r="P81" t="s">
        <v>289</v>
      </c>
      <c r="Q81">
        <v>0</v>
      </c>
      <c r="R81">
        <v>0</v>
      </c>
      <c r="S81">
        <v>0</v>
      </c>
      <c r="T81">
        <v>7</v>
      </c>
      <c r="U81">
        <v>1130</v>
      </c>
      <c r="V81">
        <v>-73.257309289276506</v>
      </c>
      <c r="W81">
        <v>7.1240445255490901</v>
      </c>
      <c r="X81">
        <v>3</v>
      </c>
    </row>
    <row r="82" spans="1:24">
      <c r="A82">
        <v>93560</v>
      </c>
      <c r="B82" t="s">
        <v>290</v>
      </c>
      <c r="C82">
        <v>2</v>
      </c>
      <c r="D82">
        <v>1</v>
      </c>
      <c r="E82">
        <v>2</v>
      </c>
      <c r="F82">
        <v>100</v>
      </c>
      <c r="G82">
        <v>1</v>
      </c>
      <c r="H82">
        <v>62371</v>
      </c>
      <c r="I82">
        <v>160</v>
      </c>
      <c r="J82">
        <v>31</v>
      </c>
      <c r="K82" t="s">
        <v>291</v>
      </c>
      <c r="L82" t="s">
        <v>292</v>
      </c>
      <c r="M82" t="s">
        <v>290</v>
      </c>
      <c r="N82">
        <v>68307000</v>
      </c>
      <c r="O82">
        <v>1</v>
      </c>
      <c r="P82" t="s">
        <v>293</v>
      </c>
      <c r="Q82">
        <v>9</v>
      </c>
      <c r="R82">
        <v>0</v>
      </c>
      <c r="S82">
        <v>0</v>
      </c>
      <c r="T82">
        <v>7</v>
      </c>
      <c r="U82">
        <v>740</v>
      </c>
      <c r="V82">
        <v>-73.167343869806402</v>
      </c>
      <c r="W82">
        <v>7.0124126773650701</v>
      </c>
      <c r="X82">
        <v>3</v>
      </c>
    </row>
    <row r="83" spans="1:24">
      <c r="A83">
        <v>98533</v>
      </c>
      <c r="B83" t="s">
        <v>294</v>
      </c>
      <c r="C83">
        <v>2</v>
      </c>
      <c r="D83">
        <v>1</v>
      </c>
      <c r="E83">
        <v>2</v>
      </c>
      <c r="F83">
        <v>100</v>
      </c>
      <c r="G83">
        <v>1</v>
      </c>
      <c r="H83">
        <v>62371</v>
      </c>
      <c r="I83">
        <v>160</v>
      </c>
      <c r="J83">
        <v>31</v>
      </c>
      <c r="K83" t="s">
        <v>295</v>
      </c>
      <c r="L83" t="s">
        <v>99</v>
      </c>
      <c r="M83" t="s">
        <v>294</v>
      </c>
      <c r="N83">
        <v>68547000</v>
      </c>
      <c r="O83">
        <v>1</v>
      </c>
      <c r="P83" t="s">
        <v>296</v>
      </c>
      <c r="Q83">
        <v>9</v>
      </c>
      <c r="R83">
        <v>0</v>
      </c>
      <c r="S83">
        <v>0</v>
      </c>
      <c r="T83">
        <v>7</v>
      </c>
      <c r="U83">
        <v>1653</v>
      </c>
      <c r="V83">
        <v>-73.059652650633296</v>
      </c>
      <c r="W83">
        <v>6.8998791286275098</v>
      </c>
      <c r="X83">
        <v>3</v>
      </c>
    </row>
    <row r="84" spans="1:24">
      <c r="A84">
        <v>98222</v>
      </c>
      <c r="B84" t="s">
        <v>297</v>
      </c>
      <c r="C84">
        <v>2</v>
      </c>
      <c r="D84">
        <v>1</v>
      </c>
      <c r="E84">
        <v>2</v>
      </c>
      <c r="F84">
        <v>0</v>
      </c>
      <c r="G84">
        <v>2</v>
      </c>
      <c r="H84">
        <v>62371</v>
      </c>
      <c r="I84">
        <v>160</v>
      </c>
      <c r="J84">
        <v>31</v>
      </c>
      <c r="K84" t="s">
        <v>298</v>
      </c>
      <c r="L84" t="s">
        <v>99</v>
      </c>
      <c r="M84" t="s">
        <v>297</v>
      </c>
      <c r="N84">
        <v>68547000</v>
      </c>
      <c r="O84">
        <v>1</v>
      </c>
      <c r="P84" t="s">
        <v>299</v>
      </c>
      <c r="Q84">
        <v>9</v>
      </c>
      <c r="R84">
        <v>0</v>
      </c>
      <c r="S84">
        <v>0</v>
      </c>
      <c r="T84">
        <v>7</v>
      </c>
      <c r="U84">
        <v>1707</v>
      </c>
      <c r="V84">
        <v>-73.032017543219993</v>
      </c>
      <c r="W84">
        <v>6.8837796641302704</v>
      </c>
      <c r="X84">
        <v>3</v>
      </c>
    </row>
    <row r="85" spans="1:24">
      <c r="A85">
        <v>580332</v>
      </c>
      <c r="B85" t="s">
        <v>300</v>
      </c>
      <c r="C85">
        <v>2</v>
      </c>
      <c r="D85">
        <v>1</v>
      </c>
      <c r="E85">
        <v>2</v>
      </c>
      <c r="F85">
        <v>0</v>
      </c>
      <c r="G85">
        <v>1</v>
      </c>
      <c r="H85">
        <v>62371</v>
      </c>
      <c r="I85">
        <v>160</v>
      </c>
      <c r="J85">
        <v>31</v>
      </c>
      <c r="K85" t="s">
        <v>301</v>
      </c>
      <c r="L85" t="s">
        <v>99</v>
      </c>
      <c r="M85" t="s">
        <v>300</v>
      </c>
      <c r="N85">
        <v>68547000</v>
      </c>
      <c r="O85">
        <v>1</v>
      </c>
      <c r="P85" t="s">
        <v>302</v>
      </c>
      <c r="Q85">
        <v>9</v>
      </c>
      <c r="R85">
        <v>0</v>
      </c>
      <c r="S85">
        <v>0</v>
      </c>
      <c r="T85">
        <v>7</v>
      </c>
      <c r="U85">
        <v>1737</v>
      </c>
      <c r="V85">
        <v>-73.0190464823214</v>
      </c>
      <c r="W85">
        <v>6.8736176677102296</v>
      </c>
      <c r="X85">
        <v>3</v>
      </c>
    </row>
    <row r="86" spans="1:24">
      <c r="A86">
        <v>98246</v>
      </c>
      <c r="B86" t="s">
        <v>303</v>
      </c>
      <c r="C86">
        <v>2</v>
      </c>
      <c r="D86">
        <v>1</v>
      </c>
      <c r="E86">
        <v>2</v>
      </c>
      <c r="F86">
        <v>0</v>
      </c>
      <c r="G86">
        <v>2</v>
      </c>
      <c r="H86">
        <v>62371</v>
      </c>
      <c r="I86">
        <v>160</v>
      </c>
      <c r="J86">
        <v>31</v>
      </c>
      <c r="K86" t="s">
        <v>304</v>
      </c>
      <c r="L86" t="s">
        <v>99</v>
      </c>
      <c r="M86" t="s">
        <v>303</v>
      </c>
      <c r="N86">
        <v>68547000</v>
      </c>
      <c r="O86">
        <v>1</v>
      </c>
      <c r="P86" t="s">
        <v>305</v>
      </c>
      <c r="Q86">
        <v>0</v>
      </c>
      <c r="R86">
        <v>0</v>
      </c>
      <c r="S86">
        <v>0</v>
      </c>
      <c r="T86">
        <v>7</v>
      </c>
      <c r="U86">
        <v>1727</v>
      </c>
      <c r="V86">
        <v>-73.022485163678098</v>
      </c>
      <c r="W86">
        <v>6.8799137532725103</v>
      </c>
      <c r="X86">
        <v>3</v>
      </c>
    </row>
    <row r="87" spans="1:24">
      <c r="A87">
        <v>98380</v>
      </c>
      <c r="B87" t="s">
        <v>306</v>
      </c>
      <c r="C87">
        <v>2</v>
      </c>
      <c r="D87">
        <v>1</v>
      </c>
      <c r="E87">
        <v>2</v>
      </c>
      <c r="F87">
        <v>100</v>
      </c>
      <c r="G87">
        <v>1</v>
      </c>
      <c r="H87">
        <v>62371</v>
      </c>
      <c r="I87">
        <v>160</v>
      </c>
      <c r="J87">
        <v>31</v>
      </c>
      <c r="K87" t="s">
        <v>307</v>
      </c>
      <c r="L87" t="s">
        <v>99</v>
      </c>
      <c r="M87" t="s">
        <v>306</v>
      </c>
      <c r="N87">
        <v>68418000</v>
      </c>
      <c r="O87">
        <v>1</v>
      </c>
      <c r="P87" t="s">
        <v>308</v>
      </c>
      <c r="Q87">
        <v>9</v>
      </c>
      <c r="R87">
        <v>0</v>
      </c>
      <c r="S87">
        <v>0</v>
      </c>
      <c r="T87">
        <v>7</v>
      </c>
      <c r="U87">
        <v>1622</v>
      </c>
      <c r="V87">
        <v>-73.084908997362106</v>
      </c>
      <c r="W87">
        <v>6.8837581065170701</v>
      </c>
      <c r="X87">
        <v>3</v>
      </c>
    </row>
    <row r="88" spans="1:24">
      <c r="A88">
        <v>537452</v>
      </c>
      <c r="B88" t="s">
        <v>309</v>
      </c>
      <c r="C88">
        <v>2</v>
      </c>
      <c r="D88">
        <v>1</v>
      </c>
      <c r="E88">
        <v>2</v>
      </c>
      <c r="F88">
        <v>100</v>
      </c>
      <c r="G88">
        <v>2</v>
      </c>
      <c r="H88">
        <v>62371</v>
      </c>
      <c r="I88">
        <v>160</v>
      </c>
      <c r="J88">
        <v>31</v>
      </c>
      <c r="K88" t="s">
        <v>310</v>
      </c>
      <c r="L88" t="s">
        <v>41</v>
      </c>
      <c r="M88" t="s">
        <v>309</v>
      </c>
      <c r="N88">
        <v>68547000</v>
      </c>
      <c r="O88">
        <v>1</v>
      </c>
      <c r="P88" t="s">
        <v>311</v>
      </c>
      <c r="Q88">
        <v>9</v>
      </c>
      <c r="R88">
        <v>0</v>
      </c>
      <c r="S88">
        <v>0</v>
      </c>
      <c r="T88">
        <v>7</v>
      </c>
      <c r="U88">
        <v>905</v>
      </c>
      <c r="V88">
        <v>-73.078798270597204</v>
      </c>
      <c r="W88">
        <v>6.9796210284324696</v>
      </c>
      <c r="X88">
        <v>3</v>
      </c>
    </row>
    <row r="89" spans="1:24">
      <c r="A89">
        <v>1149427</v>
      </c>
      <c r="B89" t="s">
        <v>312</v>
      </c>
      <c r="C89">
        <v>2</v>
      </c>
      <c r="D89">
        <v>1</v>
      </c>
      <c r="E89">
        <v>2</v>
      </c>
      <c r="F89">
        <v>0</v>
      </c>
      <c r="G89">
        <v>2</v>
      </c>
      <c r="H89">
        <v>62371</v>
      </c>
      <c r="I89">
        <v>160</v>
      </c>
      <c r="J89">
        <v>31</v>
      </c>
      <c r="K89" t="s">
        <v>313</v>
      </c>
      <c r="L89" t="s">
        <v>41</v>
      </c>
      <c r="M89" t="s">
        <v>312</v>
      </c>
      <c r="N89">
        <v>68547000</v>
      </c>
      <c r="O89">
        <v>1</v>
      </c>
      <c r="P89" t="s">
        <v>314</v>
      </c>
      <c r="Q89">
        <v>9</v>
      </c>
      <c r="R89">
        <v>0</v>
      </c>
      <c r="S89">
        <v>0</v>
      </c>
      <c r="T89">
        <v>7</v>
      </c>
      <c r="U89">
        <v>880</v>
      </c>
      <c r="V89">
        <v>-73.099064827884604</v>
      </c>
      <c r="W89">
        <v>6.9700393683572504</v>
      </c>
      <c r="X89">
        <v>3</v>
      </c>
    </row>
    <row r="90" spans="1:24">
      <c r="A90">
        <v>1566956</v>
      </c>
      <c r="B90" t="s">
        <v>315</v>
      </c>
      <c r="C90">
        <v>2</v>
      </c>
      <c r="D90">
        <v>1</v>
      </c>
      <c r="E90">
        <v>2</v>
      </c>
      <c r="F90">
        <v>0</v>
      </c>
      <c r="G90">
        <v>2</v>
      </c>
      <c r="H90">
        <v>62371</v>
      </c>
      <c r="I90">
        <v>160</v>
      </c>
      <c r="J90">
        <v>11</v>
      </c>
      <c r="K90" t="s">
        <v>316</v>
      </c>
      <c r="L90" t="s">
        <v>317</v>
      </c>
      <c r="M90" t="s">
        <v>315</v>
      </c>
      <c r="N90">
        <v>68001000</v>
      </c>
      <c r="O90">
        <v>2</v>
      </c>
      <c r="P90" t="s">
        <v>318</v>
      </c>
      <c r="Q90">
        <v>0</v>
      </c>
      <c r="R90">
        <v>0</v>
      </c>
      <c r="S90">
        <v>0</v>
      </c>
      <c r="T90">
        <v>8</v>
      </c>
      <c r="U90">
        <v>930</v>
      </c>
      <c r="V90">
        <v>-73.124048746519605</v>
      </c>
      <c r="W90">
        <v>7.1124796572418898</v>
      </c>
      <c r="X90">
        <v>3</v>
      </c>
    </row>
    <row r="91" spans="1:24">
      <c r="A91">
        <v>94695</v>
      </c>
      <c r="B91" t="s">
        <v>319</v>
      </c>
      <c r="C91">
        <v>2</v>
      </c>
      <c r="D91">
        <v>1</v>
      </c>
      <c r="E91">
        <v>2</v>
      </c>
      <c r="F91">
        <v>0</v>
      </c>
      <c r="G91">
        <v>1</v>
      </c>
      <c r="H91">
        <v>62371</v>
      </c>
      <c r="I91">
        <v>160</v>
      </c>
      <c r="J91">
        <v>31</v>
      </c>
      <c r="K91" t="s">
        <v>320</v>
      </c>
      <c r="L91" t="s">
        <v>37</v>
      </c>
      <c r="M91" t="s">
        <v>319</v>
      </c>
      <c r="N91">
        <v>68406000</v>
      </c>
      <c r="O91">
        <v>1</v>
      </c>
      <c r="P91" t="s">
        <v>321</v>
      </c>
      <c r="Q91">
        <v>9</v>
      </c>
      <c r="R91">
        <v>0</v>
      </c>
      <c r="S91">
        <v>0</v>
      </c>
      <c r="T91">
        <v>7</v>
      </c>
      <c r="U91">
        <v>1166</v>
      </c>
      <c r="V91">
        <v>-73.197580543453796</v>
      </c>
      <c r="W91">
        <v>7.0986741102387496</v>
      </c>
      <c r="X91">
        <v>3</v>
      </c>
    </row>
    <row r="92" spans="1:24">
      <c r="A92">
        <v>513084</v>
      </c>
      <c r="B92" t="s">
        <v>322</v>
      </c>
      <c r="C92">
        <v>2</v>
      </c>
      <c r="D92">
        <v>1</v>
      </c>
      <c r="E92">
        <v>2</v>
      </c>
      <c r="F92">
        <v>100</v>
      </c>
      <c r="G92">
        <v>2</v>
      </c>
      <c r="H92">
        <v>62371</v>
      </c>
      <c r="I92">
        <v>160</v>
      </c>
      <c r="J92">
        <v>31</v>
      </c>
      <c r="K92" t="s">
        <v>323</v>
      </c>
      <c r="L92" t="s">
        <v>37</v>
      </c>
      <c r="M92" t="s">
        <v>322</v>
      </c>
      <c r="N92">
        <v>68406000</v>
      </c>
      <c r="O92">
        <v>1</v>
      </c>
      <c r="P92" t="s">
        <v>324</v>
      </c>
      <c r="Q92">
        <v>9</v>
      </c>
      <c r="R92">
        <v>0</v>
      </c>
      <c r="S92">
        <v>0</v>
      </c>
      <c r="T92">
        <v>7</v>
      </c>
      <c r="U92">
        <v>1098</v>
      </c>
      <c r="V92">
        <v>-73.196690474288303</v>
      </c>
      <c r="W92">
        <v>7.1192050885261704</v>
      </c>
      <c r="X92">
        <v>3</v>
      </c>
    </row>
    <row r="93" spans="1:24">
      <c r="A93">
        <v>234131</v>
      </c>
      <c r="B93" t="s">
        <v>325</v>
      </c>
      <c r="C93">
        <v>2</v>
      </c>
      <c r="D93">
        <v>1</v>
      </c>
      <c r="E93">
        <v>2</v>
      </c>
      <c r="F93">
        <v>100</v>
      </c>
      <c r="G93">
        <v>1</v>
      </c>
      <c r="H93">
        <v>62371</v>
      </c>
      <c r="I93">
        <v>160</v>
      </c>
      <c r="J93">
        <v>11</v>
      </c>
      <c r="K93" t="s">
        <v>326</v>
      </c>
      <c r="L93" t="s">
        <v>275</v>
      </c>
      <c r="M93" t="s">
        <v>325</v>
      </c>
      <c r="N93">
        <v>68307000</v>
      </c>
      <c r="O93">
        <v>2</v>
      </c>
      <c r="P93" t="s">
        <v>327</v>
      </c>
      <c r="Q93">
        <v>0</v>
      </c>
      <c r="R93">
        <v>0</v>
      </c>
      <c r="S93">
        <v>0</v>
      </c>
      <c r="T93">
        <v>8</v>
      </c>
      <c r="U93">
        <v>690</v>
      </c>
      <c r="V93">
        <v>-73.166590290915906</v>
      </c>
      <c r="W93">
        <v>7.0732659793400998</v>
      </c>
      <c r="X93">
        <v>3</v>
      </c>
    </row>
    <row r="94" spans="1:24">
      <c r="A94">
        <v>1323755</v>
      </c>
      <c r="B94" t="s">
        <v>325</v>
      </c>
      <c r="C94">
        <v>2</v>
      </c>
      <c r="D94">
        <v>1</v>
      </c>
      <c r="E94">
        <v>2</v>
      </c>
      <c r="F94">
        <v>100</v>
      </c>
      <c r="G94">
        <v>1</v>
      </c>
      <c r="H94">
        <v>62371</v>
      </c>
      <c r="I94">
        <v>160</v>
      </c>
      <c r="J94">
        <v>11</v>
      </c>
      <c r="K94" t="s">
        <v>328</v>
      </c>
      <c r="L94" t="s">
        <v>275</v>
      </c>
      <c r="M94" t="s">
        <v>325</v>
      </c>
      <c r="N94">
        <v>68307000</v>
      </c>
      <c r="O94">
        <v>2</v>
      </c>
      <c r="P94" t="s">
        <v>329</v>
      </c>
      <c r="Q94">
        <v>0</v>
      </c>
      <c r="R94">
        <v>0</v>
      </c>
      <c r="S94">
        <v>0</v>
      </c>
      <c r="T94">
        <v>8</v>
      </c>
      <c r="U94">
        <v>690</v>
      </c>
      <c r="V94">
        <v>-73.166557739026402</v>
      </c>
      <c r="W94">
        <v>7.0732323541193303</v>
      </c>
      <c r="X94">
        <v>3</v>
      </c>
    </row>
    <row r="95" spans="1:24">
      <c r="A95">
        <v>350645</v>
      </c>
      <c r="B95" t="s">
        <v>330</v>
      </c>
      <c r="C95">
        <v>2</v>
      </c>
      <c r="D95">
        <v>1</v>
      </c>
      <c r="E95">
        <v>2</v>
      </c>
      <c r="F95">
        <v>0</v>
      </c>
      <c r="G95">
        <v>1</v>
      </c>
      <c r="H95">
        <v>62371</v>
      </c>
      <c r="I95">
        <v>160</v>
      </c>
      <c r="J95">
        <v>31</v>
      </c>
      <c r="K95" t="s">
        <v>331</v>
      </c>
      <c r="L95" t="s">
        <v>332</v>
      </c>
      <c r="M95" t="s">
        <v>330</v>
      </c>
      <c r="N95">
        <v>68276000</v>
      </c>
      <c r="O95">
        <v>1</v>
      </c>
      <c r="P95" t="s">
        <v>333</v>
      </c>
      <c r="Q95">
        <v>9</v>
      </c>
      <c r="R95">
        <v>0</v>
      </c>
      <c r="S95">
        <v>0</v>
      </c>
      <c r="T95">
        <v>7</v>
      </c>
      <c r="U95">
        <v>874</v>
      </c>
      <c r="V95">
        <v>-73.095779309839102</v>
      </c>
      <c r="W95">
        <v>7.0560694230446304</v>
      </c>
      <c r="X95">
        <v>3</v>
      </c>
    </row>
    <row r="96" spans="1:24">
      <c r="A96">
        <v>350646</v>
      </c>
      <c r="B96" t="s">
        <v>330</v>
      </c>
      <c r="C96">
        <v>2</v>
      </c>
      <c r="D96">
        <v>1</v>
      </c>
      <c r="E96">
        <v>2</v>
      </c>
      <c r="F96">
        <v>0</v>
      </c>
      <c r="G96">
        <v>1</v>
      </c>
      <c r="H96">
        <v>62371</v>
      </c>
      <c r="I96">
        <v>160</v>
      </c>
      <c r="J96">
        <v>31</v>
      </c>
      <c r="K96" t="s">
        <v>334</v>
      </c>
      <c r="L96" t="s">
        <v>332</v>
      </c>
      <c r="M96" t="s">
        <v>330</v>
      </c>
      <c r="N96">
        <v>68276000</v>
      </c>
      <c r="O96">
        <v>1</v>
      </c>
      <c r="P96" t="s">
        <v>335</v>
      </c>
      <c r="Q96">
        <v>0</v>
      </c>
      <c r="R96">
        <v>0</v>
      </c>
      <c r="S96">
        <v>0</v>
      </c>
      <c r="T96">
        <v>8</v>
      </c>
      <c r="U96">
        <v>869</v>
      </c>
      <c r="V96">
        <v>-73.095964861945106</v>
      </c>
      <c r="W96">
        <v>7.0569731586812603</v>
      </c>
      <c r="X96">
        <v>3</v>
      </c>
    </row>
    <row r="97" spans="1:24">
      <c r="A97">
        <v>95364</v>
      </c>
      <c r="B97" t="s">
        <v>336</v>
      </c>
      <c r="C97">
        <v>2</v>
      </c>
      <c r="D97">
        <v>1</v>
      </c>
      <c r="E97">
        <v>2</v>
      </c>
      <c r="F97">
        <v>0</v>
      </c>
      <c r="G97">
        <v>1</v>
      </c>
      <c r="H97">
        <v>62371</v>
      </c>
      <c r="I97">
        <v>160</v>
      </c>
      <c r="J97">
        <v>31</v>
      </c>
      <c r="K97" t="s">
        <v>337</v>
      </c>
      <c r="L97" t="s">
        <v>63</v>
      </c>
      <c r="M97" t="s">
        <v>336</v>
      </c>
      <c r="N97">
        <v>68406000</v>
      </c>
      <c r="O97">
        <v>1</v>
      </c>
      <c r="P97" t="s">
        <v>338</v>
      </c>
      <c r="Q97">
        <v>9</v>
      </c>
      <c r="R97">
        <v>0</v>
      </c>
      <c r="S97">
        <v>0</v>
      </c>
      <c r="T97">
        <v>7</v>
      </c>
      <c r="U97">
        <v>1164</v>
      </c>
      <c r="V97">
        <v>-73.278813756391401</v>
      </c>
      <c r="W97">
        <v>7.1354756334492002</v>
      </c>
      <c r="X97">
        <v>3</v>
      </c>
    </row>
    <row r="98" spans="1:24">
      <c r="A98">
        <v>1156512</v>
      </c>
      <c r="B98" t="s">
        <v>339</v>
      </c>
      <c r="C98">
        <v>2</v>
      </c>
      <c r="D98">
        <v>1</v>
      </c>
      <c r="E98">
        <v>2</v>
      </c>
      <c r="F98">
        <v>100</v>
      </c>
      <c r="G98">
        <v>2</v>
      </c>
      <c r="H98">
        <v>62371</v>
      </c>
      <c r="I98">
        <v>160</v>
      </c>
      <c r="J98">
        <v>31</v>
      </c>
      <c r="K98" t="s">
        <v>340</v>
      </c>
      <c r="L98" t="s">
        <v>176</v>
      </c>
      <c r="M98" t="s">
        <v>339</v>
      </c>
      <c r="N98">
        <v>68895000</v>
      </c>
      <c r="O98">
        <v>1</v>
      </c>
      <c r="P98" t="s">
        <v>341</v>
      </c>
      <c r="Q98">
        <v>0</v>
      </c>
      <c r="R98">
        <v>0</v>
      </c>
      <c r="S98">
        <v>0</v>
      </c>
      <c r="T98">
        <v>8</v>
      </c>
      <c r="U98">
        <v>1509</v>
      </c>
      <c r="V98">
        <v>-73.234250712617794</v>
      </c>
      <c r="W98">
        <v>6.8750768192076901</v>
      </c>
      <c r="X98">
        <v>3</v>
      </c>
    </row>
    <row r="99" spans="1:24">
      <c r="A99">
        <v>449830</v>
      </c>
      <c r="B99" t="s">
        <v>342</v>
      </c>
      <c r="C99">
        <v>2</v>
      </c>
      <c r="D99">
        <v>1</v>
      </c>
      <c r="E99">
        <v>2</v>
      </c>
      <c r="F99">
        <v>0</v>
      </c>
      <c r="G99">
        <v>1</v>
      </c>
      <c r="H99">
        <v>62371</v>
      </c>
      <c r="I99">
        <v>160</v>
      </c>
      <c r="J99">
        <v>31</v>
      </c>
      <c r="K99" t="s">
        <v>343</v>
      </c>
      <c r="L99" t="s">
        <v>75</v>
      </c>
      <c r="M99" t="s">
        <v>342</v>
      </c>
      <c r="N99">
        <v>68051000</v>
      </c>
      <c r="O99">
        <v>1</v>
      </c>
      <c r="P99" t="s">
        <v>344</v>
      </c>
      <c r="Q99">
        <v>0</v>
      </c>
      <c r="R99">
        <v>0</v>
      </c>
      <c r="S99">
        <v>0</v>
      </c>
      <c r="T99">
        <v>8</v>
      </c>
      <c r="U99">
        <v>1944</v>
      </c>
      <c r="V99">
        <v>-73.034990946740606</v>
      </c>
      <c r="W99">
        <v>6.6925874911681902</v>
      </c>
      <c r="X99">
        <v>3</v>
      </c>
    </row>
    <row r="100" spans="1:24">
      <c r="A100">
        <v>1035414</v>
      </c>
      <c r="B100" t="s">
        <v>342</v>
      </c>
      <c r="C100">
        <v>2</v>
      </c>
      <c r="D100">
        <v>1</v>
      </c>
      <c r="E100">
        <v>2</v>
      </c>
      <c r="F100">
        <v>0</v>
      </c>
      <c r="G100">
        <v>1</v>
      </c>
      <c r="H100">
        <v>62371</v>
      </c>
      <c r="I100">
        <v>160</v>
      </c>
      <c r="J100">
        <v>31</v>
      </c>
      <c r="K100" t="s">
        <v>345</v>
      </c>
      <c r="L100" t="s">
        <v>75</v>
      </c>
      <c r="M100" t="s">
        <v>342</v>
      </c>
      <c r="N100">
        <v>68051000</v>
      </c>
      <c r="O100">
        <v>1</v>
      </c>
      <c r="P100" t="s">
        <v>346</v>
      </c>
      <c r="Q100">
        <v>0</v>
      </c>
      <c r="R100">
        <v>0</v>
      </c>
      <c r="S100">
        <v>0</v>
      </c>
      <c r="T100">
        <v>7</v>
      </c>
      <c r="U100">
        <v>1944</v>
      </c>
      <c r="V100">
        <v>-73.034987069823103</v>
      </c>
      <c r="W100">
        <v>6.6925801904261997</v>
      </c>
      <c r="X100">
        <v>3</v>
      </c>
    </row>
    <row r="101" spans="1:24">
      <c r="A101">
        <v>464565</v>
      </c>
      <c r="B101" t="s">
        <v>347</v>
      </c>
      <c r="C101">
        <v>2</v>
      </c>
      <c r="D101">
        <v>1</v>
      </c>
      <c r="E101">
        <v>2</v>
      </c>
      <c r="F101">
        <v>100</v>
      </c>
      <c r="G101">
        <v>2</v>
      </c>
      <c r="H101">
        <v>62371</v>
      </c>
      <c r="I101">
        <v>160</v>
      </c>
      <c r="J101">
        <v>32</v>
      </c>
      <c r="K101" t="s">
        <v>348</v>
      </c>
      <c r="L101" t="s">
        <v>349</v>
      </c>
      <c r="M101" t="s">
        <v>347</v>
      </c>
      <c r="N101">
        <v>68549000</v>
      </c>
      <c r="O101">
        <v>1</v>
      </c>
      <c r="P101" t="s">
        <v>350</v>
      </c>
      <c r="Q101">
        <v>0</v>
      </c>
      <c r="R101">
        <v>0</v>
      </c>
      <c r="S101">
        <v>0</v>
      </c>
      <c r="T101">
        <v>3</v>
      </c>
      <c r="U101">
        <v>983</v>
      </c>
      <c r="V101">
        <v>-73.204164281877098</v>
      </c>
      <c r="W101">
        <v>6.5287228657140703</v>
      </c>
      <c r="X101">
        <v>3</v>
      </c>
    </row>
    <row r="102" spans="1:24">
      <c r="A102">
        <v>1555248</v>
      </c>
      <c r="B102" t="s">
        <v>351</v>
      </c>
      <c r="C102">
        <v>2</v>
      </c>
      <c r="D102">
        <v>1</v>
      </c>
      <c r="E102">
        <v>2</v>
      </c>
      <c r="F102">
        <v>0</v>
      </c>
      <c r="G102">
        <v>2</v>
      </c>
      <c r="H102">
        <v>62371</v>
      </c>
      <c r="I102">
        <v>160</v>
      </c>
      <c r="J102">
        <v>13</v>
      </c>
      <c r="K102" t="s">
        <v>352</v>
      </c>
      <c r="L102" t="s">
        <v>157</v>
      </c>
      <c r="M102" t="s">
        <v>351</v>
      </c>
      <c r="N102">
        <v>68081000</v>
      </c>
      <c r="O102">
        <v>2</v>
      </c>
      <c r="P102" t="s">
        <v>353</v>
      </c>
      <c r="Q102">
        <v>0</v>
      </c>
      <c r="R102">
        <v>0</v>
      </c>
      <c r="S102">
        <v>0</v>
      </c>
      <c r="T102">
        <v>7</v>
      </c>
      <c r="U102">
        <v>77</v>
      </c>
      <c r="V102">
        <v>-73.863266980976306</v>
      </c>
      <c r="W102">
        <v>7.0594894517387603</v>
      </c>
      <c r="X102">
        <v>3</v>
      </c>
    </row>
    <row r="103" spans="1:24">
      <c r="A103">
        <v>101330</v>
      </c>
      <c r="B103" t="s">
        <v>354</v>
      </c>
      <c r="C103">
        <v>2</v>
      </c>
      <c r="D103">
        <v>1</v>
      </c>
      <c r="E103">
        <v>2</v>
      </c>
      <c r="F103">
        <v>100</v>
      </c>
      <c r="G103">
        <v>1</v>
      </c>
      <c r="H103">
        <v>62371</v>
      </c>
      <c r="I103">
        <v>160</v>
      </c>
      <c r="J103">
        <v>31</v>
      </c>
      <c r="K103" t="s">
        <v>355</v>
      </c>
      <c r="L103" t="s">
        <v>176</v>
      </c>
      <c r="M103" t="s">
        <v>354</v>
      </c>
      <c r="N103">
        <v>68895000</v>
      </c>
      <c r="O103">
        <v>1</v>
      </c>
      <c r="P103" t="s">
        <v>356</v>
      </c>
      <c r="Q103">
        <v>0</v>
      </c>
      <c r="R103">
        <v>0</v>
      </c>
      <c r="S103">
        <v>0</v>
      </c>
      <c r="T103">
        <v>7</v>
      </c>
      <c r="U103">
        <v>1728</v>
      </c>
      <c r="V103">
        <v>-73.278422524421501</v>
      </c>
      <c r="W103">
        <v>6.7578750901795797</v>
      </c>
      <c r="X103">
        <v>3</v>
      </c>
    </row>
    <row r="104" spans="1:24">
      <c r="A104">
        <v>1079742</v>
      </c>
      <c r="B104" t="s">
        <v>357</v>
      </c>
      <c r="C104">
        <v>2</v>
      </c>
      <c r="D104">
        <v>1</v>
      </c>
      <c r="E104">
        <v>2</v>
      </c>
      <c r="F104">
        <v>100</v>
      </c>
      <c r="G104">
        <v>1</v>
      </c>
      <c r="H104">
        <v>62371</v>
      </c>
      <c r="I104">
        <v>160</v>
      </c>
      <c r="J104">
        <v>31</v>
      </c>
      <c r="K104" t="s">
        <v>358</v>
      </c>
      <c r="L104" t="s">
        <v>359</v>
      </c>
      <c r="M104" t="s">
        <v>357</v>
      </c>
      <c r="N104">
        <v>68276000</v>
      </c>
      <c r="O104">
        <v>1</v>
      </c>
      <c r="P104" t="s">
        <v>360</v>
      </c>
      <c r="Q104">
        <v>9</v>
      </c>
      <c r="R104">
        <v>0</v>
      </c>
      <c r="S104">
        <v>0</v>
      </c>
      <c r="T104">
        <v>7</v>
      </c>
      <c r="U104">
        <v>1158</v>
      </c>
      <c r="V104">
        <v>-73.112413549171393</v>
      </c>
      <c r="W104">
        <v>7.0199933057666897</v>
      </c>
      <c r="X104">
        <v>3</v>
      </c>
    </row>
    <row r="105" spans="1:24">
      <c r="A105">
        <v>591828</v>
      </c>
      <c r="B105" t="s">
        <v>361</v>
      </c>
      <c r="C105">
        <v>2</v>
      </c>
      <c r="D105">
        <v>1</v>
      </c>
      <c r="E105">
        <v>2</v>
      </c>
      <c r="F105">
        <v>100</v>
      </c>
      <c r="G105">
        <v>2</v>
      </c>
      <c r="H105">
        <v>62371</v>
      </c>
      <c r="I105">
        <v>160</v>
      </c>
      <c r="J105">
        <v>31</v>
      </c>
      <c r="K105" t="s">
        <v>362</v>
      </c>
      <c r="L105" t="s">
        <v>63</v>
      </c>
      <c r="M105" t="s">
        <v>361</v>
      </c>
      <c r="N105">
        <v>68406000</v>
      </c>
      <c r="O105">
        <v>1</v>
      </c>
      <c r="P105" t="s">
        <v>363</v>
      </c>
      <c r="Q105">
        <v>9</v>
      </c>
      <c r="R105">
        <v>0</v>
      </c>
      <c r="S105">
        <v>0</v>
      </c>
      <c r="T105">
        <v>7</v>
      </c>
      <c r="U105">
        <v>1018</v>
      </c>
      <c r="V105">
        <v>-73.235690398202195</v>
      </c>
      <c r="W105">
        <v>7.1408022214375597</v>
      </c>
      <c r="X105">
        <v>3</v>
      </c>
    </row>
    <row r="106" spans="1:24">
      <c r="A106">
        <v>228661</v>
      </c>
      <c r="B106" t="s">
        <v>364</v>
      </c>
      <c r="C106">
        <v>2</v>
      </c>
      <c r="D106">
        <v>1</v>
      </c>
      <c r="E106">
        <v>2</v>
      </c>
      <c r="F106">
        <v>100</v>
      </c>
      <c r="G106">
        <v>2</v>
      </c>
      <c r="H106">
        <v>62371</v>
      </c>
      <c r="I106">
        <v>160</v>
      </c>
      <c r="J106">
        <v>11</v>
      </c>
      <c r="K106" t="s">
        <v>365</v>
      </c>
      <c r="L106" t="s">
        <v>366</v>
      </c>
      <c r="M106" t="s">
        <v>364</v>
      </c>
      <c r="N106">
        <v>68307000</v>
      </c>
      <c r="O106">
        <v>2</v>
      </c>
      <c r="P106" t="s">
        <v>367</v>
      </c>
      <c r="Q106">
        <v>0</v>
      </c>
      <c r="R106">
        <v>0</v>
      </c>
      <c r="S106">
        <v>0</v>
      </c>
      <c r="T106">
        <v>8</v>
      </c>
      <c r="U106">
        <v>705</v>
      </c>
      <c r="V106">
        <v>-73.168954527669698</v>
      </c>
      <c r="W106">
        <v>7.0677888854242603</v>
      </c>
      <c r="X106">
        <v>3</v>
      </c>
    </row>
    <row r="107" spans="1:24">
      <c r="A107">
        <v>1344640</v>
      </c>
      <c r="B107" t="s">
        <v>368</v>
      </c>
      <c r="C107">
        <v>2</v>
      </c>
      <c r="D107">
        <v>1</v>
      </c>
      <c r="E107">
        <v>2</v>
      </c>
      <c r="F107">
        <v>100</v>
      </c>
      <c r="G107">
        <v>1</v>
      </c>
      <c r="H107">
        <v>62371</v>
      </c>
      <c r="I107">
        <v>160</v>
      </c>
      <c r="J107">
        <v>31</v>
      </c>
      <c r="K107" t="s">
        <v>369</v>
      </c>
      <c r="L107" t="s">
        <v>176</v>
      </c>
      <c r="M107" t="s">
        <v>368</v>
      </c>
      <c r="N107">
        <v>68895000</v>
      </c>
      <c r="O107">
        <v>1</v>
      </c>
      <c r="P107" t="s">
        <v>370</v>
      </c>
      <c r="Q107">
        <v>0</v>
      </c>
      <c r="R107">
        <v>0</v>
      </c>
      <c r="S107">
        <v>0</v>
      </c>
      <c r="T107">
        <v>8</v>
      </c>
      <c r="U107">
        <v>1609</v>
      </c>
      <c r="V107">
        <v>-73.256054210954005</v>
      </c>
      <c r="W107">
        <v>6.8273487544649401</v>
      </c>
      <c r="X107">
        <v>3</v>
      </c>
    </row>
    <row r="108" spans="1:24">
      <c r="A108">
        <v>1731338</v>
      </c>
      <c r="B108" t="s">
        <v>371</v>
      </c>
      <c r="C108">
        <v>2</v>
      </c>
      <c r="D108">
        <v>1</v>
      </c>
      <c r="E108">
        <v>2</v>
      </c>
      <c r="F108">
        <v>0</v>
      </c>
      <c r="G108">
        <v>2</v>
      </c>
      <c r="H108">
        <v>62371</v>
      </c>
      <c r="I108">
        <v>160</v>
      </c>
      <c r="J108">
        <v>11</v>
      </c>
      <c r="K108" t="s">
        <v>372</v>
      </c>
      <c r="L108" t="s">
        <v>111</v>
      </c>
      <c r="M108" t="s">
        <v>371</v>
      </c>
      <c r="N108">
        <v>68001000</v>
      </c>
      <c r="O108">
        <v>2</v>
      </c>
      <c r="P108" t="s">
        <v>373</v>
      </c>
      <c r="Q108">
        <v>0</v>
      </c>
      <c r="R108">
        <v>0</v>
      </c>
      <c r="S108">
        <v>0</v>
      </c>
      <c r="T108">
        <v>8</v>
      </c>
      <c r="U108">
        <v>991</v>
      </c>
      <c r="V108">
        <v>-73.1116036304076</v>
      </c>
      <c r="W108">
        <v>7.1186095044785596</v>
      </c>
      <c r="X108">
        <v>3</v>
      </c>
    </row>
    <row r="109" spans="1:24">
      <c r="A109">
        <v>608890</v>
      </c>
      <c r="B109" t="s">
        <v>374</v>
      </c>
      <c r="C109">
        <v>2</v>
      </c>
      <c r="D109">
        <v>1</v>
      </c>
      <c r="E109">
        <v>2</v>
      </c>
      <c r="F109">
        <v>100</v>
      </c>
      <c r="G109">
        <v>1</v>
      </c>
      <c r="H109">
        <v>62371</v>
      </c>
      <c r="I109">
        <v>160</v>
      </c>
      <c r="J109">
        <v>22</v>
      </c>
      <c r="K109" t="s">
        <v>375</v>
      </c>
      <c r="L109" t="s">
        <v>376</v>
      </c>
      <c r="M109" t="s">
        <v>374</v>
      </c>
      <c r="N109">
        <v>68689000</v>
      </c>
      <c r="O109">
        <v>1</v>
      </c>
      <c r="P109" t="s">
        <v>377</v>
      </c>
      <c r="Q109">
        <v>0</v>
      </c>
      <c r="R109">
        <v>0</v>
      </c>
      <c r="S109">
        <v>0</v>
      </c>
      <c r="T109">
        <v>7</v>
      </c>
      <c r="U109">
        <v>641</v>
      </c>
      <c r="V109">
        <v>-73.410729775198106</v>
      </c>
      <c r="W109">
        <v>6.8804739933676897</v>
      </c>
      <c r="X109">
        <v>3</v>
      </c>
    </row>
    <row r="110" spans="1:24">
      <c r="A110">
        <v>14745</v>
      </c>
      <c r="B110" t="s">
        <v>378</v>
      </c>
      <c r="C110">
        <v>2</v>
      </c>
      <c r="D110">
        <v>1</v>
      </c>
      <c r="E110">
        <v>2</v>
      </c>
      <c r="F110">
        <v>100</v>
      </c>
      <c r="G110">
        <v>2</v>
      </c>
      <c r="H110">
        <v>62371</v>
      </c>
      <c r="I110">
        <v>160</v>
      </c>
      <c r="J110">
        <v>11</v>
      </c>
      <c r="K110" t="s">
        <v>379</v>
      </c>
      <c r="L110" t="s">
        <v>232</v>
      </c>
      <c r="M110" t="s">
        <v>378</v>
      </c>
      <c r="N110">
        <v>68001000</v>
      </c>
      <c r="O110">
        <v>2</v>
      </c>
      <c r="P110" t="s">
        <v>380</v>
      </c>
      <c r="Q110">
        <v>0</v>
      </c>
      <c r="R110">
        <v>0</v>
      </c>
      <c r="S110">
        <v>0</v>
      </c>
      <c r="T110">
        <v>8</v>
      </c>
      <c r="U110">
        <v>982</v>
      </c>
      <c r="V110">
        <v>-73.124308140280206</v>
      </c>
      <c r="W110">
        <v>7.1344373675856101</v>
      </c>
      <c r="X110">
        <v>3</v>
      </c>
    </row>
    <row r="111" spans="1:24">
      <c r="A111">
        <v>235506</v>
      </c>
      <c r="B111" t="s">
        <v>381</v>
      </c>
      <c r="C111">
        <v>2</v>
      </c>
      <c r="D111">
        <v>1</v>
      </c>
      <c r="E111">
        <v>2</v>
      </c>
      <c r="F111">
        <v>100</v>
      </c>
      <c r="G111">
        <v>1</v>
      </c>
      <c r="H111">
        <v>62371</v>
      </c>
      <c r="I111">
        <v>160</v>
      </c>
      <c r="J111">
        <v>11</v>
      </c>
      <c r="K111" t="s">
        <v>382</v>
      </c>
      <c r="L111" t="s">
        <v>275</v>
      </c>
      <c r="M111" t="s">
        <v>381</v>
      </c>
      <c r="N111">
        <v>68307000</v>
      </c>
      <c r="O111">
        <v>2</v>
      </c>
      <c r="P111" t="s">
        <v>383</v>
      </c>
      <c r="Q111">
        <v>0</v>
      </c>
      <c r="R111">
        <v>0</v>
      </c>
      <c r="S111">
        <v>0</v>
      </c>
      <c r="T111">
        <v>8</v>
      </c>
      <c r="U111">
        <v>687</v>
      </c>
      <c r="V111">
        <v>-73.169441421469003</v>
      </c>
      <c r="W111">
        <v>7.0733789792993802</v>
      </c>
      <c r="X111">
        <v>3</v>
      </c>
    </row>
    <row r="112" spans="1:24">
      <c r="A112">
        <v>1466525</v>
      </c>
      <c r="B112" t="s">
        <v>381</v>
      </c>
      <c r="C112">
        <v>2</v>
      </c>
      <c r="D112">
        <v>1</v>
      </c>
      <c r="E112">
        <v>2</v>
      </c>
      <c r="F112">
        <v>100</v>
      </c>
      <c r="G112">
        <v>2</v>
      </c>
      <c r="H112">
        <v>62371</v>
      </c>
      <c r="I112">
        <v>160</v>
      </c>
      <c r="J112">
        <v>11</v>
      </c>
      <c r="K112" t="s">
        <v>384</v>
      </c>
      <c r="L112" t="s">
        <v>275</v>
      </c>
      <c r="M112" t="s">
        <v>381</v>
      </c>
      <c r="N112">
        <v>68307000</v>
      </c>
      <c r="O112">
        <v>2</v>
      </c>
      <c r="P112" t="s">
        <v>385</v>
      </c>
      <c r="Q112">
        <v>0</v>
      </c>
      <c r="R112">
        <v>0</v>
      </c>
      <c r="S112">
        <v>0</v>
      </c>
      <c r="T112">
        <v>8</v>
      </c>
      <c r="U112">
        <v>687</v>
      </c>
      <c r="V112">
        <v>-73.169441421469003</v>
      </c>
      <c r="W112">
        <v>7.0733789792993802</v>
      </c>
      <c r="X112">
        <v>3</v>
      </c>
    </row>
    <row r="113" spans="1:30">
      <c r="A113">
        <v>1466528</v>
      </c>
      <c r="B113" t="s">
        <v>381</v>
      </c>
      <c r="C113">
        <v>2</v>
      </c>
      <c r="D113">
        <v>1</v>
      </c>
      <c r="E113">
        <v>2</v>
      </c>
      <c r="F113">
        <v>100</v>
      </c>
      <c r="G113">
        <v>2</v>
      </c>
      <c r="H113">
        <v>62371</v>
      </c>
      <c r="I113">
        <v>160</v>
      </c>
      <c r="J113">
        <v>11</v>
      </c>
      <c r="K113" t="s">
        <v>386</v>
      </c>
      <c r="L113" t="s">
        <v>275</v>
      </c>
      <c r="M113" t="s">
        <v>381</v>
      </c>
      <c r="N113">
        <v>68307000</v>
      </c>
      <c r="O113">
        <v>2</v>
      </c>
      <c r="P113" t="s">
        <v>387</v>
      </c>
      <c r="Q113">
        <v>0</v>
      </c>
      <c r="R113">
        <v>0</v>
      </c>
      <c r="S113">
        <v>0</v>
      </c>
      <c r="T113">
        <v>8</v>
      </c>
      <c r="U113">
        <v>687</v>
      </c>
      <c r="V113">
        <v>-73.169441421469003</v>
      </c>
      <c r="W113">
        <v>7.0733789792993802</v>
      </c>
      <c r="X113">
        <v>3</v>
      </c>
    </row>
    <row r="114" spans="1:30">
      <c r="A114">
        <v>235505</v>
      </c>
      <c r="B114" t="s">
        <v>381</v>
      </c>
      <c r="C114">
        <v>2</v>
      </c>
      <c r="D114">
        <v>1</v>
      </c>
      <c r="E114">
        <v>2</v>
      </c>
      <c r="F114">
        <v>100</v>
      </c>
      <c r="G114">
        <v>2</v>
      </c>
      <c r="H114">
        <v>62371</v>
      </c>
      <c r="I114">
        <v>160</v>
      </c>
      <c r="J114">
        <v>11</v>
      </c>
      <c r="K114" t="s">
        <v>388</v>
      </c>
      <c r="L114" t="s">
        <v>275</v>
      </c>
      <c r="M114" t="s">
        <v>381</v>
      </c>
      <c r="N114">
        <v>68307000</v>
      </c>
      <c r="O114">
        <v>2</v>
      </c>
      <c r="P114" t="s">
        <v>389</v>
      </c>
      <c r="Q114">
        <v>0</v>
      </c>
      <c r="R114">
        <v>0</v>
      </c>
      <c r="S114">
        <v>0</v>
      </c>
      <c r="T114">
        <v>8</v>
      </c>
      <c r="U114">
        <v>687</v>
      </c>
      <c r="V114">
        <v>-73.169441421469003</v>
      </c>
      <c r="W114">
        <v>7.0733789792993802</v>
      </c>
      <c r="X114">
        <v>3</v>
      </c>
    </row>
    <row r="115" spans="1:30">
      <c r="A115">
        <v>1697889</v>
      </c>
      <c r="B115" t="s">
        <v>390</v>
      </c>
      <c r="C115">
        <v>2</v>
      </c>
      <c r="D115">
        <v>1</v>
      </c>
      <c r="E115">
        <v>2</v>
      </c>
      <c r="F115">
        <v>0</v>
      </c>
      <c r="G115">
        <v>1</v>
      </c>
      <c r="H115">
        <v>62371</v>
      </c>
      <c r="I115">
        <v>160</v>
      </c>
      <c r="J115">
        <v>32</v>
      </c>
      <c r="K115" t="s">
        <v>391</v>
      </c>
      <c r="L115" t="s">
        <v>392</v>
      </c>
      <c r="M115" t="s">
        <v>390</v>
      </c>
      <c r="N115">
        <v>20710000</v>
      </c>
      <c r="O115">
        <v>1</v>
      </c>
      <c r="P115" t="s">
        <v>393</v>
      </c>
      <c r="Q115">
        <v>0</v>
      </c>
      <c r="R115">
        <v>0</v>
      </c>
      <c r="S115">
        <v>0</v>
      </c>
      <c r="T115">
        <v>8</v>
      </c>
      <c r="U115">
        <v>100</v>
      </c>
      <c r="V115">
        <v>-73.4111993819118</v>
      </c>
      <c r="W115">
        <v>7.8061257509828499</v>
      </c>
      <c r="X115">
        <v>3</v>
      </c>
    </row>
    <row r="116" spans="1:30">
      <c r="A116">
        <v>1473802</v>
      </c>
      <c r="B116" t="s">
        <v>394</v>
      </c>
      <c r="C116">
        <v>2</v>
      </c>
      <c r="D116">
        <v>1</v>
      </c>
      <c r="E116">
        <v>3</v>
      </c>
      <c r="F116">
        <v>0</v>
      </c>
      <c r="G116">
        <v>2</v>
      </c>
      <c r="H116">
        <v>62371</v>
      </c>
      <c r="I116">
        <v>160</v>
      </c>
      <c r="J116">
        <v>11</v>
      </c>
      <c r="K116" t="s">
        <v>395</v>
      </c>
      <c r="L116" t="s">
        <v>396</v>
      </c>
      <c r="M116" t="s">
        <v>394</v>
      </c>
      <c r="N116">
        <v>68547000</v>
      </c>
      <c r="O116">
        <v>2</v>
      </c>
      <c r="P116" t="s">
        <v>397</v>
      </c>
      <c r="Q116">
        <v>0</v>
      </c>
      <c r="R116">
        <v>0</v>
      </c>
      <c r="S116">
        <v>0</v>
      </c>
      <c r="T116">
        <v>8</v>
      </c>
      <c r="U116">
        <v>1018</v>
      </c>
      <c r="V116">
        <v>-73.054556378625506</v>
      </c>
      <c r="W116">
        <v>7.0002486627428597</v>
      </c>
      <c r="X116">
        <v>3</v>
      </c>
    </row>
    <row r="117" spans="1:30">
      <c r="A117">
        <v>1473857</v>
      </c>
      <c r="B117" t="s">
        <v>394</v>
      </c>
      <c r="C117">
        <v>2</v>
      </c>
      <c r="D117">
        <v>1</v>
      </c>
      <c r="E117">
        <v>3</v>
      </c>
      <c r="F117">
        <v>0</v>
      </c>
      <c r="G117">
        <v>2</v>
      </c>
      <c r="H117">
        <v>62371</v>
      </c>
      <c r="I117">
        <v>160</v>
      </c>
      <c r="J117">
        <v>11</v>
      </c>
      <c r="K117" t="s">
        <v>398</v>
      </c>
      <c r="L117" t="s">
        <v>396</v>
      </c>
      <c r="M117" t="s">
        <v>394</v>
      </c>
      <c r="N117">
        <v>68547000</v>
      </c>
      <c r="O117">
        <v>2</v>
      </c>
      <c r="P117" t="s">
        <v>399</v>
      </c>
      <c r="Q117">
        <v>0</v>
      </c>
      <c r="R117">
        <v>0</v>
      </c>
      <c r="S117">
        <v>0</v>
      </c>
      <c r="T117">
        <v>8</v>
      </c>
      <c r="U117">
        <v>1019</v>
      </c>
      <c r="V117">
        <v>-73.054651511367098</v>
      </c>
      <c r="W117">
        <v>7.0003347176950399</v>
      </c>
      <c r="X117">
        <v>3</v>
      </c>
    </row>
    <row r="118" spans="1:30">
      <c r="A118">
        <v>1655115</v>
      </c>
      <c r="B118" t="s">
        <v>400</v>
      </c>
      <c r="C118">
        <v>2</v>
      </c>
      <c r="D118">
        <v>1</v>
      </c>
      <c r="E118">
        <v>2</v>
      </c>
      <c r="F118">
        <v>0</v>
      </c>
      <c r="G118">
        <v>2</v>
      </c>
      <c r="H118">
        <v>62371</v>
      </c>
      <c r="I118">
        <v>160</v>
      </c>
      <c r="J118">
        <v>11</v>
      </c>
      <c r="K118" t="s">
        <v>401</v>
      </c>
      <c r="L118" t="s">
        <v>103</v>
      </c>
      <c r="M118" t="s">
        <v>400</v>
      </c>
      <c r="N118">
        <v>68276000</v>
      </c>
      <c r="O118">
        <v>2</v>
      </c>
      <c r="P118" t="s">
        <v>402</v>
      </c>
      <c r="Q118">
        <v>0</v>
      </c>
      <c r="R118">
        <v>0</v>
      </c>
      <c r="S118">
        <v>0</v>
      </c>
      <c r="T118">
        <v>8</v>
      </c>
      <c r="U118">
        <v>801</v>
      </c>
      <c r="V118">
        <v>-73.113804189711701</v>
      </c>
      <c r="W118">
        <v>7.0608428038965902</v>
      </c>
      <c r="X118">
        <v>3</v>
      </c>
    </row>
    <row r="119" spans="1:30">
      <c r="A119">
        <v>584786</v>
      </c>
      <c r="B119" t="s">
        <v>403</v>
      </c>
      <c r="C119">
        <v>2</v>
      </c>
      <c r="D119">
        <v>1</v>
      </c>
      <c r="E119">
        <v>2</v>
      </c>
      <c r="F119">
        <v>0</v>
      </c>
      <c r="G119">
        <v>2</v>
      </c>
      <c r="H119">
        <v>62371</v>
      </c>
      <c r="I119">
        <v>160</v>
      </c>
      <c r="J119">
        <v>31</v>
      </c>
      <c r="K119" t="s">
        <v>404</v>
      </c>
      <c r="L119" t="s">
        <v>199</v>
      </c>
      <c r="M119" t="s">
        <v>403</v>
      </c>
      <c r="N119">
        <v>68418000</v>
      </c>
      <c r="O119">
        <v>1</v>
      </c>
      <c r="P119" t="s">
        <v>405</v>
      </c>
      <c r="Q119">
        <v>9</v>
      </c>
      <c r="R119">
        <v>0</v>
      </c>
      <c r="S119">
        <v>0</v>
      </c>
      <c r="T119">
        <v>7</v>
      </c>
      <c r="U119">
        <v>1630</v>
      </c>
      <c r="V119">
        <v>-73.104006436815695</v>
      </c>
      <c r="W119">
        <v>6.8467281477614002</v>
      </c>
      <c r="X119">
        <v>3</v>
      </c>
    </row>
    <row r="120" spans="1:30">
      <c r="A120">
        <v>1180323</v>
      </c>
      <c r="B120" t="s">
        <v>406</v>
      </c>
      <c r="C120">
        <v>2</v>
      </c>
      <c r="D120">
        <v>3</v>
      </c>
      <c r="E120">
        <v>0</v>
      </c>
      <c r="F120">
        <v>101</v>
      </c>
      <c r="G120">
        <v>2</v>
      </c>
      <c r="H120">
        <v>62371</v>
      </c>
      <c r="I120">
        <v>160</v>
      </c>
      <c r="J120">
        <v>13</v>
      </c>
      <c r="K120" t="s">
        <v>407</v>
      </c>
      <c r="L120" t="s">
        <v>408</v>
      </c>
      <c r="M120" t="s">
        <v>406</v>
      </c>
      <c r="N120">
        <v>68081000</v>
      </c>
      <c r="O120">
        <v>2</v>
      </c>
      <c r="P120" t="s">
        <v>409</v>
      </c>
      <c r="Q120">
        <v>0</v>
      </c>
      <c r="R120">
        <v>0</v>
      </c>
      <c r="S120">
        <v>0</v>
      </c>
      <c r="T120">
        <v>8</v>
      </c>
      <c r="U120">
        <v>82</v>
      </c>
      <c r="V120">
        <v>-73.854413590979505</v>
      </c>
      <c r="W120">
        <v>7.0607868312384898</v>
      </c>
      <c r="X120">
        <v>3</v>
      </c>
    </row>
    <row r="121" spans="1:30">
      <c r="A121">
        <v>246411</v>
      </c>
      <c r="B121" t="s">
        <v>130</v>
      </c>
      <c r="C121">
        <v>2</v>
      </c>
      <c r="D121">
        <v>1</v>
      </c>
      <c r="E121">
        <v>2</v>
      </c>
      <c r="F121">
        <v>100</v>
      </c>
      <c r="G121">
        <v>1</v>
      </c>
      <c r="H121">
        <v>62371</v>
      </c>
      <c r="I121">
        <v>160</v>
      </c>
      <c r="J121">
        <v>11</v>
      </c>
      <c r="K121" t="s">
        <v>410</v>
      </c>
      <c r="L121" t="s">
        <v>132</v>
      </c>
      <c r="M121" t="s">
        <v>130</v>
      </c>
      <c r="N121">
        <v>68001000</v>
      </c>
      <c r="O121">
        <v>2</v>
      </c>
      <c r="P121" t="s">
        <v>411</v>
      </c>
      <c r="Q121">
        <v>0</v>
      </c>
      <c r="R121">
        <v>0</v>
      </c>
      <c r="S121">
        <v>0</v>
      </c>
      <c r="T121">
        <v>8</v>
      </c>
      <c r="U121">
        <v>972</v>
      </c>
      <c r="V121">
        <v>-73.111658287428199</v>
      </c>
      <c r="W121">
        <v>7.1116441738514604</v>
      </c>
      <c r="X121">
        <v>3</v>
      </c>
    </row>
    <row r="122" spans="1:30">
      <c r="A122">
        <v>1578153</v>
      </c>
      <c r="B122" t="s">
        <v>412</v>
      </c>
      <c r="C122">
        <v>2</v>
      </c>
      <c r="D122">
        <v>1</v>
      </c>
      <c r="E122">
        <v>2</v>
      </c>
      <c r="F122">
        <v>0</v>
      </c>
      <c r="G122">
        <v>2</v>
      </c>
      <c r="H122">
        <v>62371</v>
      </c>
      <c r="I122">
        <v>160</v>
      </c>
      <c r="J122">
        <v>11</v>
      </c>
      <c r="K122" t="s">
        <v>413</v>
      </c>
      <c r="L122" t="s">
        <v>414</v>
      </c>
      <c r="M122" t="s">
        <v>412</v>
      </c>
      <c r="N122">
        <v>68547000</v>
      </c>
      <c r="O122">
        <v>2</v>
      </c>
      <c r="P122" t="s">
        <v>415</v>
      </c>
      <c r="Q122">
        <v>0</v>
      </c>
      <c r="R122">
        <v>0</v>
      </c>
      <c r="S122">
        <v>0</v>
      </c>
      <c r="T122">
        <v>8</v>
      </c>
      <c r="U122">
        <v>1014</v>
      </c>
      <c r="V122">
        <v>-73.051938091913698</v>
      </c>
      <c r="W122">
        <v>6.9977416886575803</v>
      </c>
      <c r="X122">
        <v>3</v>
      </c>
    </row>
    <row r="123" spans="1:30">
      <c r="A123">
        <v>1578154</v>
      </c>
      <c r="B123" t="s">
        <v>412</v>
      </c>
      <c r="C123">
        <v>2</v>
      </c>
      <c r="D123">
        <v>1</v>
      </c>
      <c r="E123">
        <v>2</v>
      </c>
      <c r="F123">
        <v>0</v>
      </c>
      <c r="G123">
        <v>2</v>
      </c>
      <c r="H123">
        <v>62371</v>
      </c>
      <c r="I123">
        <v>160</v>
      </c>
      <c r="J123">
        <v>11</v>
      </c>
      <c r="K123" t="s">
        <v>416</v>
      </c>
      <c r="L123" t="s">
        <v>414</v>
      </c>
      <c r="M123" t="s">
        <v>412</v>
      </c>
      <c r="N123">
        <v>68547000</v>
      </c>
      <c r="O123">
        <v>2</v>
      </c>
      <c r="P123" t="s">
        <v>417</v>
      </c>
      <c r="Q123">
        <v>0</v>
      </c>
      <c r="R123">
        <v>0</v>
      </c>
      <c r="S123">
        <v>0</v>
      </c>
      <c r="T123">
        <v>8</v>
      </c>
      <c r="U123">
        <v>1014</v>
      </c>
      <c r="V123">
        <v>-73.051933422623705</v>
      </c>
      <c r="W123">
        <v>6.99775452924733</v>
      </c>
      <c r="X123">
        <v>1</v>
      </c>
      <c r="Y123" t="s">
        <v>418</v>
      </c>
      <c r="Z123">
        <v>100</v>
      </c>
      <c r="AA123">
        <v>1</v>
      </c>
      <c r="AB123" t="s">
        <v>134</v>
      </c>
      <c r="AC123">
        <v>45678</v>
      </c>
      <c r="AD123">
        <v>2</v>
      </c>
    </row>
    <row r="124" spans="1:30">
      <c r="A124">
        <v>581761</v>
      </c>
      <c r="B124" t="s">
        <v>419</v>
      </c>
      <c r="C124">
        <v>2</v>
      </c>
      <c r="D124">
        <v>1</v>
      </c>
      <c r="E124">
        <v>2</v>
      </c>
      <c r="F124">
        <v>0</v>
      </c>
      <c r="G124">
        <v>2</v>
      </c>
      <c r="H124">
        <v>62371</v>
      </c>
      <c r="I124">
        <v>160</v>
      </c>
      <c r="J124">
        <v>11</v>
      </c>
      <c r="K124" t="s">
        <v>420</v>
      </c>
      <c r="L124" t="s">
        <v>317</v>
      </c>
      <c r="M124" t="s">
        <v>419</v>
      </c>
      <c r="N124">
        <v>68001000</v>
      </c>
      <c r="O124">
        <v>2</v>
      </c>
      <c r="P124" t="s">
        <v>421</v>
      </c>
      <c r="Q124">
        <v>0</v>
      </c>
      <c r="R124">
        <v>0</v>
      </c>
      <c r="S124">
        <v>0</v>
      </c>
      <c r="T124">
        <v>8</v>
      </c>
      <c r="U124">
        <v>951</v>
      </c>
      <c r="V124">
        <v>-73.126314167602104</v>
      </c>
      <c r="W124">
        <v>7.1196578073596601</v>
      </c>
      <c r="X124">
        <v>3</v>
      </c>
    </row>
    <row r="125" spans="1:30">
      <c r="A125">
        <v>1083556</v>
      </c>
      <c r="B125" t="s">
        <v>422</v>
      </c>
      <c r="C125">
        <v>2</v>
      </c>
      <c r="D125">
        <v>1</v>
      </c>
      <c r="E125">
        <v>2</v>
      </c>
      <c r="F125">
        <v>0</v>
      </c>
      <c r="G125">
        <v>2</v>
      </c>
      <c r="H125">
        <v>62371</v>
      </c>
      <c r="I125">
        <v>160</v>
      </c>
      <c r="J125">
        <v>31</v>
      </c>
      <c r="K125" t="s">
        <v>423</v>
      </c>
      <c r="L125" t="s">
        <v>63</v>
      </c>
      <c r="M125" t="s">
        <v>422</v>
      </c>
      <c r="N125">
        <v>68406000</v>
      </c>
      <c r="O125">
        <v>1</v>
      </c>
      <c r="P125" t="s">
        <v>424</v>
      </c>
      <c r="Q125">
        <v>9</v>
      </c>
      <c r="R125">
        <v>0</v>
      </c>
      <c r="S125">
        <v>0</v>
      </c>
      <c r="T125">
        <v>7</v>
      </c>
      <c r="U125">
        <v>1168</v>
      </c>
      <c r="V125">
        <v>-73.275814649969405</v>
      </c>
      <c r="W125">
        <v>7.1469364065312204</v>
      </c>
      <c r="X125">
        <v>3</v>
      </c>
    </row>
  </sheetData>
  <autoFilter ref="A10:AE10" xr:uid="{FC29CFFE-DFB2-4A0E-B35B-821836E54207}"/>
  <mergeCells count="4">
    <mergeCell ref="A3:C3"/>
    <mergeCell ref="A5:C8"/>
    <mergeCell ref="R3:T3"/>
    <mergeCell ref="R5:T8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TC1 PRELIMINAR-OR ESSA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CATALINA PRADA ARCINIEGAS</dc:creator>
  <cp:lastModifiedBy>Customer Experience</cp:lastModifiedBy>
  <dcterms:created xsi:type="dcterms:W3CDTF">2023-04-26T15:44:42Z</dcterms:created>
  <dcterms:modified xsi:type="dcterms:W3CDTF">2026-03-10T19:20:47Z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bbfa72-b3b6-4c1f-8b23-058d4f67f013_Enabled">
    <vt:lpwstr>true</vt:lpwstr>
  </property>
  <property fmtid="{D5CDD505-2E9C-101B-9397-08002B2CF9AE}" pid="3" name="MSIP_Label_6ebbfa72-b3b6-4c1f-8b23-058d4f67f013_SetDate">
    <vt:lpwstr>2023-04-26T16:07:22Z</vt:lpwstr>
  </property>
  <property fmtid="{D5CDD505-2E9C-101B-9397-08002B2CF9AE}" pid="4" name="MSIP_Label_6ebbfa72-b3b6-4c1f-8b23-058d4f67f013_Method">
    <vt:lpwstr>Privileged</vt:lpwstr>
  </property>
  <property fmtid="{D5CDD505-2E9C-101B-9397-08002B2CF9AE}" pid="5" name="MSIP_Label_6ebbfa72-b3b6-4c1f-8b23-058d4f67f013_Name">
    <vt:lpwstr>6ebbfa72-b3b6-4c1f-8b23-058d4f67f013</vt:lpwstr>
  </property>
  <property fmtid="{D5CDD505-2E9C-101B-9397-08002B2CF9AE}" pid="6" name="MSIP_Label_6ebbfa72-b3b6-4c1f-8b23-058d4f67f013_SiteId">
    <vt:lpwstr>bf1ce8b5-5d39-4bc5-ad6e-07b3e4d7d67a</vt:lpwstr>
  </property>
  <property fmtid="{D5CDD505-2E9C-101B-9397-08002B2CF9AE}" pid="7" name="MSIP_Label_6ebbfa72-b3b6-4c1f-8b23-058d4f67f013_ActionId">
    <vt:lpwstr>30f69c07-d8d8-47e7-ad51-aae074ff5503</vt:lpwstr>
  </property>
  <property fmtid="{D5CDD505-2E9C-101B-9397-08002B2CF9AE}" pid="8" name="MSIP_Label_6ebbfa72-b3b6-4c1f-8b23-058d4f67f013_ContentBits">
    <vt:lpwstr>0</vt:lpwstr>
  </property>
</Properties>
</file>